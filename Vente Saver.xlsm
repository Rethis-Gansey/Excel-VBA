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this\Bureau_respice\"/>
    </mc:Choice>
  </mc:AlternateContent>
  <bookViews>
    <workbookView xWindow="0" yWindow="0" windowWidth="20730" windowHeight="9735" activeTab="2"/>
  </bookViews>
  <sheets>
    <sheet name="Acceuil" sheetId="1" r:id="rId1"/>
    <sheet name="Facture" sheetId="19" r:id="rId2"/>
    <sheet name="Gestion Livraisons" sheetId="16" r:id="rId3"/>
    <sheet name="Gestion Commandes" sheetId="15" r:id="rId4"/>
    <sheet name="Tableau de bord" sheetId="18" r:id="rId5"/>
    <sheet name="Table Produits" sheetId="17" r:id="rId6"/>
    <sheet name="Liste" sheetId="2" r:id="rId7"/>
    <sheet name="Janvier" sheetId="3" r:id="rId8"/>
    <sheet name="Fevrier" sheetId="4" r:id="rId9"/>
    <sheet name="Mars" sheetId="5" r:id="rId10"/>
    <sheet name="Avril" sheetId="6" r:id="rId11"/>
    <sheet name="Mai" sheetId="7" r:id="rId12"/>
    <sheet name="Juin" sheetId="8" r:id="rId13"/>
    <sheet name="Juillet" sheetId="9" r:id="rId14"/>
    <sheet name="Août" sheetId="10" r:id="rId15"/>
    <sheet name="Septembre" sheetId="11" r:id="rId16"/>
    <sheet name="Octobre" sheetId="12" r:id="rId17"/>
    <sheet name="Novembre" sheetId="13" r:id="rId18"/>
    <sheet name="Décembre" sheetId="14" r:id="rId19"/>
  </sheets>
  <definedNames>
    <definedName name="bab">Liste!$F$12:$F$20</definedName>
    <definedName name="TabProd">Tableau1[Produits]</definedName>
    <definedName name="TabProduit">Tableau1[Produits]</definedName>
    <definedName name="TProduits">Tableau1[Produits]</definedName>
    <definedName name="TVendeurs">Tableau2[Vendeurs]</definedName>
    <definedName name="vente">Janvier!$B$4:$H$20</definedName>
    <definedName name="zonecommande">'Gestion Commandes'!$A$1:$G$24</definedName>
    <definedName name="ZoneLivraison">'Gestion Livraisons'!$A$1:$G$25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5" i="3" l="1"/>
  <c r="G44" i="3" l="1"/>
  <c r="G43" i="3" l="1"/>
  <c r="B5" i="19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 l="1"/>
  <c r="G5" i="14"/>
  <c r="G5" i="13"/>
  <c r="G5" i="12"/>
  <c r="G5" i="11"/>
  <c r="G5" i="10"/>
  <c r="G5" i="9"/>
  <c r="G5" i="8"/>
  <c r="G5" i="7"/>
  <c r="G5" i="6"/>
  <c r="G5" i="5"/>
  <c r="G5" i="4"/>
  <c r="G6" i="4"/>
  <c r="G7" i="4"/>
  <c r="G23" i="3" l="1"/>
  <c r="G22" i="3"/>
  <c r="G21" i="3" l="1"/>
  <c r="G20" i="3" l="1"/>
  <c r="G19" i="3"/>
  <c r="G18" i="3"/>
  <c r="G17" i="3"/>
  <c r="G16" i="3"/>
  <c r="G7" i="3" l="1"/>
  <c r="G8" i="3"/>
  <c r="G9" i="3"/>
  <c r="G10" i="3"/>
  <c r="G11" i="3"/>
  <c r="G12" i="3"/>
  <c r="G13" i="3"/>
  <c r="G14" i="3"/>
  <c r="G15" i="3"/>
  <c r="G19" i="19" l="1"/>
  <c r="G20" i="19"/>
  <c r="G17" i="19"/>
  <c r="G18" i="19"/>
  <c r="G21" i="19"/>
  <c r="G22" i="19"/>
  <c r="G9" i="19"/>
  <c r="G10" i="19"/>
  <c r="G11" i="19"/>
  <c r="G12" i="19"/>
  <c r="G13" i="19"/>
  <c r="G14" i="19"/>
  <c r="G15" i="19"/>
  <c r="G16" i="19"/>
  <c r="G8" i="19"/>
  <c r="C32" i="2"/>
  <c r="C31" i="2"/>
  <c r="C30" i="2"/>
  <c r="C29" i="2"/>
  <c r="C28" i="2"/>
  <c r="C27" i="2"/>
  <c r="C26" i="2"/>
  <c r="C25" i="2"/>
  <c r="C24" i="2"/>
  <c r="C23" i="2"/>
  <c r="C22" i="2"/>
  <c r="G23" i="19" l="1"/>
  <c r="G25" i="19" l="1"/>
  <c r="G27" i="19" s="1"/>
  <c r="P1001" i="14"/>
  <c r="O1001" i="14"/>
  <c r="N1001" i="14"/>
  <c r="M1001" i="14"/>
  <c r="L1001" i="14"/>
  <c r="K1001" i="14"/>
  <c r="J1001" i="14"/>
  <c r="I1001" i="14"/>
  <c r="H1001" i="14"/>
  <c r="P1001" i="13"/>
  <c r="O1001" i="13"/>
  <c r="N1001" i="13"/>
  <c r="M1001" i="13"/>
  <c r="L1001" i="13"/>
  <c r="K1001" i="13"/>
  <c r="J1001" i="13"/>
  <c r="I1001" i="13"/>
  <c r="H1001" i="13"/>
  <c r="P1001" i="12"/>
  <c r="O1001" i="12"/>
  <c r="N1001" i="12"/>
  <c r="M1001" i="12"/>
  <c r="L1001" i="12"/>
  <c r="K1001" i="12"/>
  <c r="J1001" i="12"/>
  <c r="I1001" i="12"/>
  <c r="H1001" i="12"/>
  <c r="P1001" i="11"/>
  <c r="O1001" i="11"/>
  <c r="N1001" i="11"/>
  <c r="M1001" i="11"/>
  <c r="L1001" i="11"/>
  <c r="K1001" i="11"/>
  <c r="J1001" i="11"/>
  <c r="I1001" i="11"/>
  <c r="H1001" i="11"/>
  <c r="P1001" i="10"/>
  <c r="O1001" i="10"/>
  <c r="N1001" i="10"/>
  <c r="M1001" i="10"/>
  <c r="L1001" i="10"/>
  <c r="K1001" i="10"/>
  <c r="J1001" i="10"/>
  <c r="I1001" i="10"/>
  <c r="H1001" i="10"/>
  <c r="P1001" i="9"/>
  <c r="O1001" i="9"/>
  <c r="N1001" i="9"/>
  <c r="M1001" i="9"/>
  <c r="L1001" i="9"/>
  <c r="K1001" i="9"/>
  <c r="J1001" i="9"/>
  <c r="I1001" i="9"/>
  <c r="H1001" i="9"/>
  <c r="P1001" i="8"/>
  <c r="O1001" i="8"/>
  <c r="N1001" i="8"/>
  <c r="M1001" i="8"/>
  <c r="L1001" i="8"/>
  <c r="K1001" i="8"/>
  <c r="J1001" i="8"/>
  <c r="I1001" i="8"/>
  <c r="H1001" i="8"/>
  <c r="P1001" i="7"/>
  <c r="O1001" i="7"/>
  <c r="N1001" i="7"/>
  <c r="M1001" i="7"/>
  <c r="L1001" i="7"/>
  <c r="K1001" i="7"/>
  <c r="J1001" i="7"/>
  <c r="I1001" i="7"/>
  <c r="H1001" i="7"/>
  <c r="P1001" i="6"/>
  <c r="O1001" i="6"/>
  <c r="N1001" i="6"/>
  <c r="M1001" i="6"/>
  <c r="L1001" i="6"/>
  <c r="K1001" i="6"/>
  <c r="J1001" i="6"/>
  <c r="I1001" i="6"/>
  <c r="H1001" i="6"/>
  <c r="P1001" i="5"/>
  <c r="O1001" i="5"/>
  <c r="N1001" i="5"/>
  <c r="M1001" i="5"/>
  <c r="L1001" i="5"/>
  <c r="K1001" i="5"/>
  <c r="J1001" i="5"/>
  <c r="I1001" i="5"/>
  <c r="H1001" i="5"/>
  <c r="P1000" i="4"/>
  <c r="O1000" i="4"/>
  <c r="N1000" i="4"/>
  <c r="M1000" i="4"/>
  <c r="L1000" i="4"/>
  <c r="K1000" i="4"/>
  <c r="J1000" i="4"/>
  <c r="I1000" i="4"/>
  <c r="H1000" i="4"/>
  <c r="P1001" i="3"/>
  <c r="O1001" i="3"/>
  <c r="N1001" i="3"/>
  <c r="L1001" i="3"/>
  <c r="K1001" i="3"/>
  <c r="I1001" i="3"/>
  <c r="G5" i="3"/>
  <c r="G6" i="3"/>
  <c r="M1001" i="3" s="1"/>
  <c r="H1001" i="3" l="1"/>
  <c r="C21" i="2"/>
  <c r="J1001" i="3"/>
  <c r="E6" i="15"/>
  <c r="E7" i="15"/>
  <c r="E8" i="15"/>
  <c r="E20" i="15" l="1"/>
  <c r="E19" i="15"/>
  <c r="E18" i="15"/>
  <c r="E17" i="15"/>
  <c r="E16" i="15"/>
  <c r="E15" i="15"/>
  <c r="E14" i="15"/>
  <c r="E13" i="15"/>
  <c r="E12" i="15"/>
  <c r="E11" i="15"/>
  <c r="E10" i="15"/>
  <c r="E9" i="15"/>
  <c r="E21" i="15" l="1"/>
  <c r="E6" i="16" l="1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21" i="16" l="1"/>
  <c r="I2" i="2" l="1"/>
  <c r="I5" i="2" s="1"/>
  <c r="U2" i="2" l="1"/>
  <c r="I9" i="2" s="1"/>
  <c r="R2" i="2"/>
  <c r="I8" i="2" s="1"/>
  <c r="O2" i="2"/>
  <c r="I7" i="2" s="1"/>
  <c r="L2" i="2"/>
  <c r="I6" i="2" s="1"/>
  <c r="I10" i="2" l="1"/>
  <c r="J9" i="2"/>
  <c r="C14" i="2" l="1"/>
  <c r="J5" i="2"/>
  <c r="J7" i="2"/>
  <c r="J6" i="2"/>
  <c r="J8" i="2"/>
  <c r="C8" i="2"/>
  <c r="C13" i="2"/>
  <c r="C7" i="2"/>
  <c r="C9" i="2"/>
  <c r="C15" i="2"/>
  <c r="C19" i="2"/>
  <c r="C10" i="2"/>
  <c r="C16" i="2"/>
</calcChain>
</file>

<file path=xl/sharedStrings.xml><?xml version="1.0" encoding="utf-8"?>
<sst xmlns="http://schemas.openxmlformats.org/spreadsheetml/2006/main" count="332" uniqueCount="48">
  <si>
    <t>Produits</t>
  </si>
  <si>
    <t>Prix</t>
  </si>
  <si>
    <t>Vin</t>
  </si>
  <si>
    <t>Yaourt</t>
  </si>
  <si>
    <t>Crème</t>
  </si>
  <si>
    <t>Chocola</t>
  </si>
  <si>
    <t>Vendeurs</t>
  </si>
  <si>
    <t>Rethis</t>
  </si>
  <si>
    <t xml:space="preserve">Pona </t>
  </si>
  <si>
    <t>Marlyne</t>
  </si>
  <si>
    <t>Sandra</t>
  </si>
  <si>
    <t>TOTAL</t>
  </si>
  <si>
    <t>Quantité</t>
  </si>
  <si>
    <t>Total</t>
  </si>
  <si>
    <t>Prix Unitaire</t>
  </si>
  <si>
    <t xml:space="preserve"> </t>
  </si>
  <si>
    <t>Date</t>
  </si>
  <si>
    <t>Yahourt</t>
  </si>
  <si>
    <t>Pona</t>
  </si>
  <si>
    <t>quant</t>
  </si>
  <si>
    <t>total</t>
  </si>
  <si>
    <t>Désignation Produit</t>
  </si>
  <si>
    <t>Montant Total</t>
  </si>
  <si>
    <t>Ref Produit</t>
  </si>
  <si>
    <t>Stock</t>
  </si>
  <si>
    <t>Quantité Demandé</t>
  </si>
  <si>
    <t xml:space="preserve">  </t>
  </si>
  <si>
    <t>Vendeur</t>
  </si>
  <si>
    <t>Nom du Produit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</si>
  <si>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</si>
  <si>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</si>
  <si>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</si>
  <si>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</si>
  <si>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</si>
  <si>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</si>
  <si>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</si>
  <si>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</si>
  <si>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</si>
  <si>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</si>
  <si>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</si>
  <si>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</si>
  <si>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Montant</t>
  </si>
  <si>
    <t>Sous Total HTVA</t>
  </si>
  <si>
    <t>Facture à</t>
  </si>
  <si>
    <r>
      <rPr>
        <b/>
        <sz val="20"/>
        <color theme="1"/>
        <rFont val="Calibri"/>
        <family val="2"/>
        <scheme val="minor"/>
      </rPr>
      <t>Mon Entreprise.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Mes services</t>
    </r>
  </si>
  <si>
    <t>Identifier le client</t>
  </si>
  <si>
    <t>Siège:
Téléphone:
e-mail:
Site:</t>
  </si>
  <si>
    <t>Quantité Demandée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</si>
</sst>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164" formatCode="_ * #,##0.00_ [$CFA-300C]_ ;_ * \-#,##0.00\ [$CFA-300C]_ ;_ * &quot;-&quot;??_ [$CFA-300C]_ ;_ @_ "/>
    <numFmt numFmtId="165" formatCode="[$-40C]d\ mmmm\ 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45EC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ont="1" applyFill="1" applyBorder="1"/>
    <xf numFmtId="0" fontId="0" fillId="0" borderId="1" xfId="0" applyBorder="1"/>
    <xf numFmtId="0" fontId="0" fillId="0" borderId="1" xfId="0" applyFont="1" applyBorder="1"/>
    <xf numFmtId="0" fontId="0" fillId="3" borderId="1" xfId="0" applyFont="1" applyFill="1" applyBorder="1"/>
    <xf numFmtId="0" fontId="1" fillId="0" borderId="0" xfId="0" applyFont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4" borderId="0" xfId="0" applyFill="1"/>
    <xf numFmtId="164" fontId="3" fillId="0" borderId="0" xfId="0" applyNumberFormat="1" applyFont="1"/>
    <xf numFmtId="164" fontId="2" fillId="0" borderId="0" xfId="0" applyNumberFormat="1" applyFont="1" applyAlignment="1">
      <alignment horizontal="center" vertical="center"/>
    </xf>
    <xf numFmtId="2" fontId="0" fillId="0" borderId="0" xfId="0" applyNumberFormat="1"/>
    <xf numFmtId="164" fontId="4" fillId="0" borderId="0" xfId="0" applyNumberFormat="1" applyFont="1"/>
    <xf numFmtId="0" fontId="5" fillId="5" borderId="1" xfId="0" applyFont="1" applyFill="1" applyBorder="1"/>
    <xf numFmtId="0" fontId="5" fillId="0" borderId="1" xfId="0" applyFont="1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1" xfId="0" applyFill="1" applyBorder="1"/>
    <xf numFmtId="0" fontId="0" fillId="0" borderId="0" xfId="0" quotePrefix="1"/>
    <xf numFmtId="0" fontId="7" fillId="6" borderId="1" xfId="0" applyFont="1" applyFill="1" applyBorder="1"/>
    <xf numFmtId="0" fontId="1" fillId="2" borderId="1" xfId="0" applyFont="1" applyFill="1" applyBorder="1"/>
    <xf numFmtId="0" fontId="1" fillId="0" borderId="1" xfId="0" applyFont="1" applyBorder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6" fillId="8" borderId="0" xfId="0" applyFont="1" applyFill="1"/>
    <xf numFmtId="0" fontId="0" fillId="0" borderId="0" xfId="0" applyNumberFormat="1" applyAlignment="1">
      <alignment horizontal="center" vertical="center"/>
    </xf>
    <xf numFmtId="0" fontId="0" fillId="9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/>
      <protection locked="0"/>
    </xf>
    <xf numFmtId="14" fontId="0" fillId="9" borderId="0" xfId="0" applyNumberFormat="1" applyFill="1" applyAlignment="1" applyProtection="1">
      <protection locked="0"/>
    </xf>
    <xf numFmtId="14" fontId="0" fillId="0" borderId="0" xfId="0" applyNumberFormat="1" applyFill="1" applyAlignment="1" applyProtection="1">
      <protection locked="0"/>
    </xf>
    <xf numFmtId="0" fontId="0" fillId="0" borderId="10" xfId="0" applyBorder="1" applyProtection="1"/>
    <xf numFmtId="164" fontId="0" fillId="0" borderId="1" xfId="0" applyNumberFormat="1" applyBorder="1" applyProtection="1"/>
    <xf numFmtId="0" fontId="0" fillId="0" borderId="1" xfId="0" applyBorder="1" applyProtection="1"/>
    <xf numFmtId="164" fontId="0" fillId="0" borderId="11" xfId="1" applyNumberFormat="1" applyFont="1" applyBorder="1" applyProtection="1"/>
    <xf numFmtId="0" fontId="9" fillId="0" borderId="12" xfId="0" applyFont="1" applyBorder="1" applyProtection="1"/>
    <xf numFmtId="0" fontId="0" fillId="0" borderId="13" xfId="0" applyBorder="1" applyProtection="1"/>
    <xf numFmtId="164" fontId="0" fillId="0" borderId="14" xfId="0" applyNumberFormat="1" applyBorder="1" applyProtection="1"/>
    <xf numFmtId="0" fontId="0" fillId="9" borderId="0" xfId="0" applyFill="1" applyProtection="1"/>
    <xf numFmtId="0" fontId="0" fillId="0" borderId="0" xfId="0" applyProtection="1"/>
    <xf numFmtId="0" fontId="0" fillId="0" borderId="7" xfId="0" applyBorder="1" applyProtection="1"/>
    <xf numFmtId="164" fontId="0" fillId="0" borderId="9" xfId="0" applyNumberFormat="1" applyBorder="1" applyProtection="1"/>
    <xf numFmtId="0" fontId="0" fillId="0" borderId="11" xfId="0" applyBorder="1" applyProtection="1"/>
    <xf numFmtId="0" fontId="0" fillId="0" borderId="12" xfId="0" applyBorder="1" applyProtection="1"/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top"/>
    </xf>
    <xf numFmtId="0" fontId="2" fillId="0" borderId="0" xfId="0" applyFont="1" applyProtection="1"/>
    <xf numFmtId="2" fontId="0" fillId="0" borderId="0" xfId="0" applyNumberFormat="1" applyAlignment="1">
      <alignment horizontal="center" vertical="center"/>
    </xf>
    <xf numFmtId="0" fontId="9" fillId="6" borderId="7" xfId="0" applyFont="1" applyFill="1" applyBorder="1" applyProtection="1"/>
    <xf numFmtId="0" fontId="9" fillId="6" borderId="8" xfId="0" applyFont="1" applyFill="1" applyBorder="1" applyProtection="1"/>
    <xf numFmtId="0" fontId="9" fillId="6" borderId="9" xfId="0" applyFont="1" applyFill="1" applyBorder="1" applyProtection="1"/>
    <xf numFmtId="14" fontId="9" fillId="9" borderId="0" xfId="0" applyNumberFormat="1" applyFont="1" applyFill="1" applyAlignment="1" applyProtection="1">
      <protection locked="0"/>
    </xf>
    <xf numFmtId="165" fontId="0" fillId="0" borderId="0" xfId="0" applyNumberFormat="1" applyAlignment="1" applyProtection="1">
      <alignment horizontal="center" vertical="center"/>
    </xf>
    <xf numFmtId="0" fontId="0" fillId="10" borderId="0" xfId="0" applyFill="1"/>
    <xf numFmtId="0" fontId="0" fillId="10" borderId="0" xfId="0" applyFill="1" applyBorder="1"/>
    <xf numFmtId="0" fontId="1" fillId="10" borderId="0" xfId="0" applyFont="1" applyFill="1" applyBorder="1"/>
    <xf numFmtId="0" fontId="2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 vertical="top"/>
      <protection locked="0"/>
    </xf>
  </cellXfs>
  <cellStyles count="2">
    <cellStyle name="Monétaire" xfId="1" builtinId="4"/>
    <cellStyle name="Normal" xfId="0" builtinId="0"/>
  </cellStyles>
  <dxfs count="9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 * #,##0.00_ [$CFA-300C]_ ;_ * \-#,##0.00\ [$CFA-300C]_ ;_ * &quot;-&quot;??_ [$CFA-300C]_ ;_ 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45E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PAR PRODUITS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strRef>
              <c:f>Liste!$B$7:$B$10</c:f>
              <c:strCache>
                <c:ptCount val="4"/>
                <c:pt idx="0">
                  <c:v>Vin</c:v>
                </c:pt>
                <c:pt idx="1">
                  <c:v>Yaourt</c:v>
                </c:pt>
                <c:pt idx="2">
                  <c:v>Crème</c:v>
                </c:pt>
                <c:pt idx="3">
                  <c:v>Chocola</c:v>
                </c:pt>
              </c:strCache>
            </c:strRef>
          </c:cat>
          <c:val>
            <c:numRef>
              <c:f>Liste!$C$7:$C$10</c:f>
              <c:numCache>
                <c:formatCode>General</c:formatCode>
                <c:ptCount val="4"/>
                <c:pt idx="0">
                  <c:v>535000</c:v>
                </c:pt>
                <c:pt idx="1">
                  <c:v>19000</c:v>
                </c:pt>
                <c:pt idx="2">
                  <c:v>15000</c:v>
                </c:pt>
                <c:pt idx="3">
                  <c:v>20500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4-4188-BB9B-3A3D9A7BB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5220736"/>
        <c:axId val="105234816"/>
      </c:barChart>
      <c:catAx>
        <c:axId val="105220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34816"/>
        <c:crosses val="autoZero"/>
        <c:auto val="1"/>
        <c:lblAlgn val="ctr"/>
        <c:lblOffset val="100"/>
        <c:noMultiLvlLbl val="0"/>
      </c:catAx>
      <c:valAx>
        <c:axId val="10523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220736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PAR COMMERCIAL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Liste!$B$13:$B$16</c:f>
              <c:strCache>
                <c:ptCount val="4"/>
                <c:pt idx="0">
                  <c:v>Rethis</c:v>
                </c:pt>
                <c:pt idx="1">
                  <c:v>Pona</c:v>
                </c:pt>
                <c:pt idx="2">
                  <c:v>Marlyne</c:v>
                </c:pt>
                <c:pt idx="3">
                  <c:v>Sandra</c:v>
                </c:pt>
              </c:strCache>
            </c:strRef>
          </c:cat>
          <c:val>
            <c:numRef>
              <c:f>Liste!$C$13:$C$16</c:f>
              <c:numCache>
                <c:formatCode>General</c:formatCode>
                <c:ptCount val="4"/>
                <c:pt idx="0">
                  <c:v>426000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2-46D4-9493-21E71B47460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206144"/>
        <c:axId val="89233664"/>
      </c:barChart>
      <c:catAx>
        <c:axId val="892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33664"/>
        <c:crosses val="autoZero"/>
        <c:auto val="1"/>
        <c:lblAlgn val="ctr"/>
        <c:lblOffset val="100"/>
        <c:noMultiLvlLbl val="0"/>
      </c:catAx>
      <c:valAx>
        <c:axId val="8923366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9206144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Liste!$B$21:$B$32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Liste!$C$21:$C$32</c:f>
              <c:numCache>
                <c:formatCode>_ * #\ ##0.00_ [$CFA-300C]_ ;_ * \-#\ ##0.00\ [$CFA-300C]_ ;_ * "-"??_ [$CFA-300C]_ ;_ @_ </c:formatCode>
                <c:ptCount val="12"/>
                <c:pt idx="0">
                  <c:v>524500</c:v>
                </c:pt>
                <c:pt idx="1">
                  <c:v>65000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7-47C9-B2CA-5F6E9B01A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9278720"/>
        <c:axId val="89280512"/>
        <c:axId val="0"/>
      </c:bar3DChart>
      <c:catAx>
        <c:axId val="89278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9280512"/>
        <c:crosses val="autoZero"/>
        <c:auto val="1"/>
        <c:lblAlgn val="ctr"/>
        <c:lblOffset val="100"/>
        <c:noMultiLvlLbl val="0"/>
      </c:catAx>
      <c:valAx>
        <c:axId val="89280512"/>
        <c:scaling>
          <c:orientation val="minMax"/>
        </c:scaling>
        <c:delete val="0"/>
        <c:axPos val="l"/>
        <c:majorGridlines/>
        <c:numFmt formatCode="_ * #\ ##0.00_ [$CFA-300C]_ ;_ * \-#\ ##0.00\ [$CFA-300C]_ ;_ * &quot;-&quot;??_ [$CFA-300C]_ ;_ @_ " sourceLinked="1"/>
        <c:majorTickMark val="out"/>
        <c:minorTickMark val="none"/>
        <c:tickLblPos val="nextTo"/>
        <c:crossAx val="89278720"/>
        <c:crosses val="autoZero"/>
        <c:crossBetween val="between"/>
      </c:valAx>
      <c:spPr>
        <a:solidFill>
          <a:schemeClr val="accent4">
            <a:lumMod val="40000"/>
            <a:lumOff val="60000"/>
          </a:schemeClr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190500</xdr:colOff>
      <xdr:row>25</xdr:row>
      <xdr:rowOff>38100</xdr:rowOff>
    </xdr:from>
    <xdr:to>
      <xdr:col>17</xdr:col>
      <xdr:colOff>660197</xdr:colOff>
      <xdr:row>32</xdr:row>
      <xdr:rowOff>51933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20500" y="4800600"/>
          <a:ext cx="3517697" cy="1347333"/>
        </a:xfrm>
        <a:prstGeom prst="rect">
          <a:avLst/>
        </a:prstGeom>
      </xdr:spPr>
    </xdr:pic>
    <xdr:clientData/>
  </xdr:twoCellAnchor>
  <xdr:twoCellAnchor>
    <xdr:from>
      <xdr:col>12</xdr:col>
      <xdr:colOff>609600</xdr:colOff>
      <xdr:row>10</xdr:row>
      <xdr:rowOff>38100</xdr:rowOff>
    </xdr:from>
    <xdr:to>
      <xdr:col>14</xdr:col>
      <xdr:colOff>66675</xdr:colOff>
      <xdr:row>12</xdr:row>
      <xdr:rowOff>38100</xdr:rowOff>
    </xdr:to>
    <xdr:sp macro="[0]!pdfformatLivraison" textlink="">
      <xdr:nvSpPr>
        <xdr:cNvPr id="5" name="Rectangle à coins arrondis 4"/>
        <xdr:cNvSpPr/>
      </xdr:nvSpPr>
      <xdr:spPr>
        <a:xfrm>
          <a:off x="11277600" y="1943100"/>
          <a:ext cx="98107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742949</xdr:colOff>
      <xdr:row>4</xdr:row>
      <xdr:rowOff>57150</xdr:rowOff>
    </xdr:from>
    <xdr:to>
      <xdr:col>11</xdr:col>
      <xdr:colOff>654926</xdr:colOff>
      <xdr:row>22</xdr:row>
      <xdr:rowOff>139054</xdr:rowOff>
    </xdr:to>
    <xdr:sp macro="" textlink="">
      <xdr:nvSpPr>
        <xdr:cNvPr id="19" name="Bouée 18"/>
        <xdr:cNvSpPr/>
      </xdr:nvSpPr>
      <xdr:spPr>
        <a:xfrm rot="21056973">
          <a:off x="3790949" y="819150"/>
          <a:ext cx="6769977" cy="3510904"/>
        </a:xfrm>
        <a:prstGeom prst="donu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704884</xdr:colOff>
      <xdr:row>4</xdr:row>
      <xdr:rowOff>142460</xdr:rowOff>
    </xdr:from>
    <xdr:to>
      <xdr:col>7</xdr:col>
      <xdr:colOff>685833</xdr:colOff>
      <xdr:row>8</xdr:row>
      <xdr:rowOff>22099</xdr:rowOff>
    </xdr:to>
    <xdr:pic macro="[0]!OuvreFormulaire"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84" y="904460"/>
          <a:ext cx="742949" cy="641639"/>
        </a:xfrm>
        <a:prstGeom prst="rect">
          <a:avLst/>
        </a:prstGeom>
      </xdr:spPr>
    </xdr:pic>
    <xdr:clientData/>
  </xdr:twoCellAnchor>
  <xdr:twoCellAnchor editAs="oneCell">
    <xdr:from>
      <xdr:col>9</xdr:col>
      <xdr:colOff>573044</xdr:colOff>
      <xdr:row>15</xdr:row>
      <xdr:rowOff>39442</xdr:rowOff>
    </xdr:from>
    <xdr:to>
      <xdr:col>10</xdr:col>
      <xdr:colOff>572912</xdr:colOff>
      <xdr:row>18</xdr:row>
      <xdr:rowOff>39343</xdr:rowOff>
    </xdr:to>
    <xdr:pic macro="[0]!Ouvre_tableau_produit"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291300">
          <a:off x="8955044" y="2896942"/>
          <a:ext cx="761868" cy="571401"/>
        </a:xfrm>
        <a:prstGeom prst="rect">
          <a:avLst/>
        </a:prstGeom>
      </xdr:spPr>
    </xdr:pic>
    <xdr:clientData/>
  </xdr:twoCellAnchor>
  <xdr:twoCellAnchor editAs="oneCell">
    <xdr:from>
      <xdr:col>3</xdr:col>
      <xdr:colOff>755820</xdr:colOff>
      <xdr:row>9</xdr:row>
      <xdr:rowOff>799</xdr:rowOff>
    </xdr:from>
    <xdr:to>
      <xdr:col>4</xdr:col>
      <xdr:colOff>615798</xdr:colOff>
      <xdr:row>12</xdr:row>
      <xdr:rowOff>157962</xdr:rowOff>
    </xdr:to>
    <xdr:pic macro="[0]!Ouvre_facture"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359838">
          <a:off x="4565820" y="1715299"/>
          <a:ext cx="621978" cy="728663"/>
        </a:xfrm>
        <a:prstGeom prst="rect">
          <a:avLst/>
        </a:prstGeom>
      </xdr:spPr>
    </xdr:pic>
    <xdr:clientData/>
  </xdr:twoCellAnchor>
  <xdr:twoCellAnchor editAs="oneCell">
    <xdr:from>
      <xdr:col>4</xdr:col>
      <xdr:colOff>171483</xdr:colOff>
      <xdr:row>17</xdr:row>
      <xdr:rowOff>174499</xdr:rowOff>
    </xdr:from>
    <xdr:to>
      <xdr:col>5</xdr:col>
      <xdr:colOff>95283</xdr:colOff>
      <xdr:row>21</xdr:row>
      <xdr:rowOff>98299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60823">
          <a:off x="4743483" y="3412999"/>
          <a:ext cx="685800" cy="685800"/>
        </a:xfrm>
        <a:prstGeom prst="rect">
          <a:avLst/>
        </a:prstGeom>
      </xdr:spPr>
    </xdr:pic>
    <xdr:clientData/>
  </xdr:twoCellAnchor>
  <xdr:twoCellAnchor editAs="oneCell">
    <xdr:from>
      <xdr:col>7</xdr:col>
      <xdr:colOff>148549</xdr:colOff>
      <xdr:row>18</xdr:row>
      <xdr:rowOff>95291</xdr:rowOff>
    </xdr:from>
    <xdr:to>
      <xdr:col>7</xdr:col>
      <xdr:colOff>659578</xdr:colOff>
      <xdr:row>22</xdr:row>
      <xdr:rowOff>9695</xdr:rowOff>
    </xdr:to>
    <xdr:pic macro="[0]!Ouvre_tableau_de_bord"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70078">
          <a:off x="7006549" y="3524291"/>
          <a:ext cx="511029" cy="676404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6</xdr:row>
      <xdr:rowOff>104775</xdr:rowOff>
    </xdr:from>
    <xdr:to>
      <xdr:col>11</xdr:col>
      <xdr:colOff>142873</xdr:colOff>
      <xdr:row>9</xdr:row>
      <xdr:rowOff>171449</xdr:rowOff>
    </xdr:to>
    <xdr:pic macro="[0]!OuvreForMLiv"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141131">
          <a:off x="9163050" y="1247775"/>
          <a:ext cx="885823" cy="6381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110755</xdr:colOff>
      <xdr:row>6</xdr:row>
      <xdr:rowOff>188286</xdr:rowOff>
    </xdr:from>
    <xdr:to>
      <xdr:col>11</xdr:col>
      <xdr:colOff>232587</xdr:colOff>
      <xdr:row>10</xdr:row>
      <xdr:rowOff>166133</xdr:rowOff>
    </xdr:to>
    <xdr:pic macro="[0]!pdfformatCommand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4243" y="1683489"/>
          <a:ext cx="886047" cy="742063"/>
        </a:xfrm>
        <a:prstGeom prst="rect">
          <a:avLst/>
        </a:prstGeom>
      </xdr:spPr>
    </xdr:pic>
    <xdr:clientData/>
  </xdr:twoCellAnchor>
  <xdr:twoCellAnchor editAs="oneCell">
    <xdr:from>
      <xdr:col>11</xdr:col>
      <xdr:colOff>553780</xdr:colOff>
      <xdr:row>6</xdr:row>
      <xdr:rowOff>143982</xdr:rowOff>
    </xdr:from>
    <xdr:to>
      <xdr:col>12</xdr:col>
      <xdr:colOff>730987</xdr:colOff>
      <xdr:row>10</xdr:row>
      <xdr:rowOff>166134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1483" y="1639185"/>
          <a:ext cx="941423" cy="7863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9525</xdr:colOff>
      <xdr:row>3</xdr:row>
      <xdr:rowOff>0</xdr:rowOff>
    </xdr:to>
    <xdr:sp macro="" textlink="">
      <xdr:nvSpPr>
        <xdr:cNvPr id="2" name="Rectangle à coins arrondis 1"/>
        <xdr:cNvSpPr/>
      </xdr:nvSpPr>
      <xdr:spPr>
        <a:xfrm>
          <a:off x="1533525" y="390525"/>
          <a:ext cx="5486400" cy="3810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tx1"/>
              </a:solidFill>
            </a:rPr>
            <a:t>BON DE LIVRAISONS</a:t>
          </a:r>
        </a:p>
      </xdr:txBody>
    </xdr:sp>
    <xdr:clientData/>
  </xdr:twoCellAnchor>
  <xdr:twoCellAnchor editAs="oneCell">
    <xdr:from>
      <xdr:col>8</xdr:col>
      <xdr:colOff>371476</xdr:colOff>
      <xdr:row>5</xdr:row>
      <xdr:rowOff>9525</xdr:rowOff>
    </xdr:from>
    <xdr:to>
      <xdr:col>9</xdr:col>
      <xdr:colOff>238126</xdr:colOff>
      <xdr:row>7</xdr:row>
      <xdr:rowOff>175296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1" y="962025"/>
          <a:ext cx="628650" cy="5467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3" name="Rectangle à coins arrondis 2"/>
        <xdr:cNvSpPr/>
      </xdr:nvSpPr>
      <xdr:spPr>
        <a:xfrm>
          <a:off x="762000" y="390525"/>
          <a:ext cx="4152900" cy="3810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tx1"/>
              </a:solidFill>
            </a:rPr>
            <a:t>BON DE COMMANDES</a:t>
          </a:r>
          <a:r>
            <a:rPr lang="fr-FR" sz="1600" b="1" baseline="0">
              <a:solidFill>
                <a:schemeClr val="tx1"/>
              </a:solidFill>
            </a:rPr>
            <a:t> CLIENTS</a:t>
          </a:r>
          <a:endParaRPr lang="fr-FR" sz="16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742950</xdr:colOff>
      <xdr:row>0</xdr:row>
      <xdr:rowOff>47625</xdr:rowOff>
    </xdr:from>
    <xdr:to>
      <xdr:col>12</xdr:col>
      <xdr:colOff>485775</xdr:colOff>
      <xdr:row>3</xdr:row>
      <xdr:rowOff>114300</xdr:rowOff>
    </xdr:to>
    <xdr:sp macro="" textlink="">
      <xdr:nvSpPr>
        <xdr:cNvPr id="2" name="Rectangle à coins arrondis 1"/>
        <xdr:cNvSpPr/>
      </xdr:nvSpPr>
      <xdr:spPr>
        <a:xfrm>
          <a:off x="3028950" y="47625"/>
          <a:ext cx="6600825" cy="6381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accent5"/>
              </a:solidFill>
            </a:rPr>
            <a:t>TABLEAU DE BORD DES VENTES</a:t>
          </a:r>
        </a:p>
      </xdr:txBody>
    </xdr:sp>
    <xdr:clientData/>
  </xdr:twoCellAnchor>
  <xdr:twoCellAnchor>
    <xdr:from>
      <xdr:col>5</xdr:col>
      <xdr:colOff>114300</xdr:colOff>
      <xdr:row>4</xdr:row>
      <xdr:rowOff>180975</xdr:rowOff>
    </xdr:from>
    <xdr:to>
      <xdr:col>9</xdr:col>
      <xdr:colOff>419100</xdr:colOff>
      <xdr:row>15</xdr:row>
      <xdr:rowOff>76200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247650</xdr:colOff>
      <xdr:row>4</xdr:row>
      <xdr:rowOff>142875</xdr:rowOff>
    </xdr:from>
    <xdr:to>
      <xdr:col>4</xdr:col>
      <xdr:colOff>400050</xdr:colOff>
      <xdr:row>15</xdr:row>
      <xdr:rowOff>76200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485775</xdr:colOff>
      <xdr:row>0</xdr:row>
      <xdr:rowOff>114300</xdr:rowOff>
    </xdr:from>
    <xdr:to>
      <xdr:col>18</xdr:col>
      <xdr:colOff>704851</xdr:colOff>
      <xdr:row>8</xdr:row>
      <xdr:rowOff>123825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7775" y="114300"/>
          <a:ext cx="1743076" cy="1533525"/>
        </a:xfrm>
        <a:prstGeom prst="rect">
          <a:avLst/>
        </a:prstGeom>
      </xdr:spPr>
    </xdr:pic>
    <xdr:clientData/>
  </xdr:twoCellAnchor>
  <xdr:twoCellAnchor>
    <xdr:from>
      <xdr:col>9</xdr:col>
      <xdr:colOff>657225</xdr:colOff>
      <xdr:row>4</xdr:row>
      <xdr:rowOff>161925</xdr:rowOff>
    </xdr:from>
    <xdr:to>
      <xdr:col>15</xdr:col>
      <xdr:colOff>657225</xdr:colOff>
      <xdr:row>15</xdr:row>
      <xdr:rowOff>66676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7</xdr:col>
      <xdr:colOff>19050</xdr:colOff>
      <xdr:row>2</xdr:row>
      <xdr:rowOff>238125</xdr:rowOff>
    </xdr:to>
    <xdr:sp macro="" textlink="">
      <xdr:nvSpPr>
        <xdr:cNvPr id="2" name="Rectangle à coins arrondis 1"/>
        <xdr:cNvSpPr/>
      </xdr:nvSpPr>
      <xdr:spPr>
        <a:xfrm>
          <a:off x="762000" y="66675"/>
          <a:ext cx="7277100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JANVIER</a:t>
          </a:r>
        </a:p>
      </xdr:txBody>
    </xdr:sp>
    <xdr:clientData/>
  </xdr:twoCellAnchor>
  <xdr:twoCellAnchor>
    <xdr:from>
      <xdr:col>8</xdr:col>
      <xdr:colOff>57150</xdr:colOff>
      <xdr:row>0</xdr:row>
      <xdr:rowOff>123824</xdr:rowOff>
    </xdr:from>
    <xdr:to>
      <xdr:col>10</xdr:col>
      <xdr:colOff>238125</xdr:colOff>
      <xdr:row>2</xdr:row>
      <xdr:rowOff>295275</xdr:rowOff>
    </xdr:to>
    <xdr:sp macro="[0]!Tableau_de_bord" textlink="">
      <xdr:nvSpPr>
        <xdr:cNvPr id="3" name="Rectangle à coins arrondis 2"/>
        <xdr:cNvSpPr/>
      </xdr:nvSpPr>
      <xdr:spPr>
        <a:xfrm>
          <a:off x="9382125" y="123824"/>
          <a:ext cx="1704975" cy="552451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1095374</xdr:colOff>
      <xdr:row>5</xdr:row>
      <xdr:rowOff>190499</xdr:rowOff>
    </xdr:from>
    <xdr:to>
      <xdr:col>10</xdr:col>
      <xdr:colOff>742950</xdr:colOff>
      <xdr:row>17</xdr:row>
      <xdr:rowOff>76200</xdr:rowOff>
    </xdr:to>
    <xdr:sp macro="" textlink="H1001">
      <xdr:nvSpPr>
        <xdr:cNvPr id="4" name="Rectangle à coins arrondis 3"/>
        <xdr:cNvSpPr/>
      </xdr:nvSpPr>
      <xdr:spPr>
        <a:xfrm>
          <a:off x="9115424" y="1333499"/>
          <a:ext cx="2266951" cy="217170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7A06E61-89E9-42F8-9F37-06A589B83F28}" type="TxLink">
            <a:rPr lang="en-US" sz="1800" b="0" i="0" u="none" strike="noStrike">
              <a:solidFill>
                <a:srgbClr val="FF0000"/>
              </a:solidFill>
              <a:latin typeface="Calibri"/>
            </a:rPr>
            <a:pPr algn="ctr"/>
            <a:t> 524 500,00 CFA </a:t>
          </a:fld>
          <a:endParaRPr lang="fr-FR" sz="16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171451</xdr:colOff>
      <xdr:row>6</xdr:row>
      <xdr:rowOff>142875</xdr:rowOff>
    </xdr:from>
    <xdr:to>
      <xdr:col>10</xdr:col>
      <xdr:colOff>542925</xdr:colOff>
      <xdr:row>9</xdr:row>
      <xdr:rowOff>9525</xdr:rowOff>
    </xdr:to>
    <xdr:sp macro="" textlink="">
      <xdr:nvSpPr>
        <xdr:cNvPr id="5" name="Rectangle à coins arrondis 4"/>
        <xdr:cNvSpPr/>
      </xdr:nvSpPr>
      <xdr:spPr>
        <a:xfrm>
          <a:off x="9553576" y="1476375"/>
          <a:ext cx="1895474" cy="4381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chemeClr val="tx1"/>
              </a:solidFill>
            </a:rPr>
            <a:t>TOTAL</a:t>
          </a:r>
          <a:r>
            <a:rPr lang="fr-FR" sz="1800" b="1" baseline="0">
              <a:solidFill>
                <a:schemeClr val="tx1"/>
              </a:solidFill>
            </a:rPr>
            <a:t> JANVIER</a:t>
          </a:r>
          <a:endParaRPr lang="fr-FR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7</xdr:col>
      <xdr:colOff>0</xdr:colOff>
      <xdr:row>2</xdr:row>
      <xdr:rowOff>247649</xdr:rowOff>
    </xdr:to>
    <xdr:sp macro="" textlink="">
      <xdr:nvSpPr>
        <xdr:cNvPr id="2" name="Rectangle à coins arrondis 1"/>
        <xdr:cNvSpPr/>
      </xdr:nvSpPr>
      <xdr:spPr>
        <a:xfrm>
          <a:off x="762000" y="66675"/>
          <a:ext cx="7953375" cy="561974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FEVRIER</a:t>
          </a:r>
        </a:p>
      </xdr:txBody>
    </xdr:sp>
    <xdr:clientData/>
  </xdr:twoCellAnchor>
  <xdr:twoCellAnchor>
    <xdr:from>
      <xdr:col>7</xdr:col>
      <xdr:colOff>1066800</xdr:colOff>
      <xdr:row>0</xdr:row>
      <xdr:rowOff>133349</xdr:rowOff>
    </xdr:from>
    <xdr:to>
      <xdr:col>10</xdr:col>
      <xdr:colOff>161925</xdr:colOff>
      <xdr:row>2</xdr:row>
      <xdr:rowOff>238125</xdr:rowOff>
    </xdr:to>
    <xdr:sp macro="[0]!Tableau_de_bord" textlink="">
      <xdr:nvSpPr>
        <xdr:cNvPr id="3" name="Rectangle à coins arrondis 2"/>
        <xdr:cNvSpPr/>
      </xdr:nvSpPr>
      <xdr:spPr>
        <a:xfrm>
          <a:off x="9782175" y="133349"/>
          <a:ext cx="1704975" cy="485776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971550</xdr:colOff>
      <xdr:row>6</xdr:row>
      <xdr:rowOff>0</xdr:rowOff>
    </xdr:from>
    <xdr:to>
      <xdr:col>10</xdr:col>
      <xdr:colOff>742949</xdr:colOff>
      <xdr:row>17</xdr:row>
      <xdr:rowOff>0</xdr:rowOff>
    </xdr:to>
    <xdr:sp macro="" textlink="H1000">
      <xdr:nvSpPr>
        <xdr:cNvPr id="4" name="Rectangle à coins arrondis 3"/>
        <xdr:cNvSpPr/>
      </xdr:nvSpPr>
      <xdr:spPr>
        <a:xfrm>
          <a:off x="9220200" y="1390650"/>
          <a:ext cx="2381249" cy="2095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EC52438-0E82-498E-B12D-1E83894D7495}" type="TxLink">
            <a:rPr lang="en-US" sz="1800" b="1" i="0" u="none" strike="noStrike">
              <a:solidFill>
                <a:srgbClr val="FF0000"/>
              </a:solidFill>
              <a:latin typeface="Calibri"/>
            </a:rPr>
            <a:pPr algn="ctr"/>
            <a:t> 65 000,00 CFA </a:t>
          </a:fld>
          <a:endParaRPr lang="fr-FR" sz="18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228600</xdr:colOff>
      <xdr:row>6</xdr:row>
      <xdr:rowOff>142875</xdr:rowOff>
    </xdr:from>
    <xdr:to>
      <xdr:col>10</xdr:col>
      <xdr:colOff>390525</xdr:colOff>
      <xdr:row>9</xdr:row>
      <xdr:rowOff>19050</xdr:rowOff>
    </xdr:to>
    <xdr:sp macro="" textlink="">
      <xdr:nvSpPr>
        <xdr:cNvPr id="5" name="Rectangle à coins arrondis 4"/>
        <xdr:cNvSpPr/>
      </xdr:nvSpPr>
      <xdr:spPr>
        <a:xfrm>
          <a:off x="9563100" y="1533525"/>
          <a:ext cx="168592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chemeClr val="tx1"/>
              </a:solidFill>
            </a:rPr>
            <a:t>TOTAL FEVRIER</a:t>
          </a:r>
          <a:endParaRPr lang="fr-FR" sz="2400" b="1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0</xdr:row>
      <xdr:rowOff>57150</xdr:rowOff>
    </xdr:from>
    <xdr:to>
      <xdr:col>7</xdr:col>
      <xdr:colOff>9526</xdr:colOff>
      <xdr:row>2</xdr:row>
      <xdr:rowOff>228600</xdr:rowOff>
    </xdr:to>
    <xdr:sp macro="" textlink="">
      <xdr:nvSpPr>
        <xdr:cNvPr id="2" name="Rectangle à coins arrondis 1"/>
        <xdr:cNvSpPr/>
      </xdr:nvSpPr>
      <xdr:spPr>
        <a:xfrm>
          <a:off x="781051" y="57150"/>
          <a:ext cx="7981950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MARS</a:t>
          </a:r>
        </a:p>
      </xdr:txBody>
    </xdr:sp>
    <xdr:clientData/>
  </xdr:twoCellAnchor>
  <xdr:twoCellAnchor>
    <xdr:from>
      <xdr:col>8</xdr:col>
      <xdr:colOff>0</xdr:colOff>
      <xdr:row>1</xdr:row>
      <xdr:rowOff>9525</xdr:rowOff>
    </xdr:from>
    <xdr:to>
      <xdr:col>10</xdr:col>
      <xdr:colOff>180975</xdr:colOff>
      <xdr:row>2</xdr:row>
      <xdr:rowOff>257175</xdr:rowOff>
    </xdr:to>
    <xdr:sp macro="[0]!Tableau_de_bord" textlink="">
      <xdr:nvSpPr>
        <xdr:cNvPr id="3" name="Rectangle à coins arrondis 2"/>
        <xdr:cNvSpPr/>
      </xdr:nvSpPr>
      <xdr:spPr>
        <a:xfrm>
          <a:off x="9972675" y="200025"/>
          <a:ext cx="1704975" cy="43815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8</xdr:col>
      <xdr:colOff>1</xdr:colOff>
      <xdr:row>5</xdr:row>
      <xdr:rowOff>133349</xdr:rowOff>
    </xdr:from>
    <xdr:to>
      <xdr:col>10</xdr:col>
      <xdr:colOff>752475</xdr:colOff>
      <xdr:row>16</xdr:row>
      <xdr:rowOff>180974</xdr:rowOff>
    </xdr:to>
    <xdr:sp macro="" textlink="H1001">
      <xdr:nvSpPr>
        <xdr:cNvPr id="4" name="Rectangle à coins arrondis 3"/>
        <xdr:cNvSpPr/>
      </xdr:nvSpPr>
      <xdr:spPr>
        <a:xfrm>
          <a:off x="9172576" y="1257299"/>
          <a:ext cx="2276474" cy="21431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3DFE15-DDC4-48CF-A1C6-28380BA81F4F}" type="TxLink">
            <a:rPr lang="en-US" sz="1800" b="0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en-US" sz="1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295275</xdr:colOff>
      <xdr:row>6</xdr:row>
      <xdr:rowOff>180975</xdr:rowOff>
    </xdr:from>
    <xdr:to>
      <xdr:col>10</xdr:col>
      <xdr:colOff>361950</xdr:colOff>
      <xdr:row>8</xdr:row>
      <xdr:rowOff>171451</xdr:rowOff>
    </xdr:to>
    <xdr:sp macro="" textlink="">
      <xdr:nvSpPr>
        <xdr:cNvPr id="5" name="ZoneTexte 4"/>
        <xdr:cNvSpPr txBox="1"/>
      </xdr:nvSpPr>
      <xdr:spPr>
        <a:xfrm>
          <a:off x="10267950" y="1495425"/>
          <a:ext cx="1590675" cy="371476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>
              <a:solidFill>
                <a:schemeClr val="tx1"/>
              </a:solidFill>
            </a:rPr>
            <a:t>TOTAL MARS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76200</xdr:rowOff>
    </xdr:from>
    <xdr:to>
      <xdr:col>7</xdr:col>
      <xdr:colOff>9526</xdr:colOff>
      <xdr:row>2</xdr:row>
      <xdr:rowOff>247650</xdr:rowOff>
    </xdr:to>
    <xdr:sp macro="" textlink="">
      <xdr:nvSpPr>
        <xdr:cNvPr id="2" name="Rectangle à coins arrondis 1"/>
        <xdr:cNvSpPr/>
      </xdr:nvSpPr>
      <xdr:spPr>
        <a:xfrm>
          <a:off x="762001" y="76200"/>
          <a:ext cx="7391400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AVRIL</a:t>
          </a:r>
        </a:p>
      </xdr:txBody>
    </xdr:sp>
    <xdr:clientData/>
  </xdr:twoCellAnchor>
  <xdr:twoCellAnchor>
    <xdr:from>
      <xdr:col>8</xdr:col>
      <xdr:colOff>0</xdr:colOff>
      <xdr:row>0</xdr:row>
      <xdr:rowOff>152400</xdr:rowOff>
    </xdr:from>
    <xdr:to>
      <xdr:col>10</xdr:col>
      <xdr:colOff>180975</xdr:colOff>
      <xdr:row>2</xdr:row>
      <xdr:rowOff>209550</xdr:rowOff>
    </xdr:to>
    <xdr:sp macro="[0]!Tableau_de_bord" textlink="">
      <xdr:nvSpPr>
        <xdr:cNvPr id="3" name="Rectangle à coins arrondis 2"/>
        <xdr:cNvSpPr/>
      </xdr:nvSpPr>
      <xdr:spPr>
        <a:xfrm>
          <a:off x="9172575" y="152400"/>
          <a:ext cx="1704975" cy="43815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8</xdr:col>
      <xdr:colOff>38100</xdr:colOff>
      <xdr:row>5</xdr:row>
      <xdr:rowOff>171450</xdr:rowOff>
    </xdr:from>
    <xdr:to>
      <xdr:col>11</xdr:col>
      <xdr:colOff>19050</xdr:colOff>
      <xdr:row>16</xdr:row>
      <xdr:rowOff>152400</xdr:rowOff>
    </xdr:to>
    <xdr:sp macro="" textlink="H1001">
      <xdr:nvSpPr>
        <xdr:cNvPr id="4" name="Rectangle à coins arrondis 3"/>
        <xdr:cNvSpPr/>
      </xdr:nvSpPr>
      <xdr:spPr>
        <a:xfrm>
          <a:off x="9210675" y="1304925"/>
          <a:ext cx="2266950" cy="2076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AB4905-6B55-46F1-81E4-2B22E6FBFE55}" type="TxLink">
            <a:rPr lang="en-US" sz="1800" b="0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4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390525</xdr:colOff>
      <xdr:row>6</xdr:row>
      <xdr:rowOff>152400</xdr:rowOff>
    </xdr:from>
    <xdr:to>
      <xdr:col>10</xdr:col>
      <xdr:colOff>495300</xdr:colOff>
      <xdr:row>9</xdr:row>
      <xdr:rowOff>0</xdr:rowOff>
    </xdr:to>
    <xdr:sp macro="" textlink="">
      <xdr:nvSpPr>
        <xdr:cNvPr id="6" name="Rectangle à coins arrondis 5"/>
        <xdr:cNvSpPr/>
      </xdr:nvSpPr>
      <xdr:spPr>
        <a:xfrm>
          <a:off x="9563100" y="1476375"/>
          <a:ext cx="162877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chemeClr val="tx1"/>
              </a:solidFill>
            </a:rPr>
            <a:t>TOTAL</a:t>
          </a:r>
          <a:r>
            <a:rPr lang="fr-FR" sz="1800" b="1" baseline="0">
              <a:solidFill>
                <a:schemeClr val="tx1"/>
              </a:solidFill>
            </a:rPr>
            <a:t> AVRIL</a:t>
          </a:r>
          <a:endParaRPr lang="fr-FR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57150</xdr:rowOff>
    </xdr:from>
    <xdr:to>
      <xdr:col>7</xdr:col>
      <xdr:colOff>28575</xdr:colOff>
      <xdr:row>2</xdr:row>
      <xdr:rowOff>171450</xdr:rowOff>
    </xdr:to>
    <xdr:sp macro="" textlink="">
      <xdr:nvSpPr>
        <xdr:cNvPr id="2" name="Rectangle à coins arrondis 1"/>
        <xdr:cNvSpPr/>
      </xdr:nvSpPr>
      <xdr:spPr>
        <a:xfrm>
          <a:off x="762001" y="57150"/>
          <a:ext cx="7353299" cy="5334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MAI</a:t>
          </a:r>
        </a:p>
      </xdr:txBody>
    </xdr:sp>
    <xdr:clientData/>
  </xdr:twoCellAnchor>
  <xdr:twoCellAnchor>
    <xdr:from>
      <xdr:col>8</xdr:col>
      <xdr:colOff>19050</xdr:colOff>
      <xdr:row>0</xdr:row>
      <xdr:rowOff>95251</xdr:rowOff>
    </xdr:from>
    <xdr:to>
      <xdr:col>10</xdr:col>
      <xdr:colOff>200025</xdr:colOff>
      <xdr:row>2</xdr:row>
      <xdr:rowOff>57151</xdr:rowOff>
    </xdr:to>
    <xdr:sp macro="[0]!Tableau_de_bord" textlink="">
      <xdr:nvSpPr>
        <xdr:cNvPr id="3" name="Rectangle à coins arrondis 2"/>
        <xdr:cNvSpPr/>
      </xdr:nvSpPr>
      <xdr:spPr>
        <a:xfrm>
          <a:off x="9048750" y="95251"/>
          <a:ext cx="1704975" cy="43815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923925</xdr:colOff>
      <xdr:row>5</xdr:row>
      <xdr:rowOff>228600</xdr:rowOff>
    </xdr:from>
    <xdr:to>
      <xdr:col>11</xdr:col>
      <xdr:colOff>76199</xdr:colOff>
      <xdr:row>14</xdr:row>
      <xdr:rowOff>104775</xdr:rowOff>
    </xdr:to>
    <xdr:sp macro="" textlink="H1001">
      <xdr:nvSpPr>
        <xdr:cNvPr id="4" name="Rectangle à coins arrondis 3"/>
        <xdr:cNvSpPr/>
      </xdr:nvSpPr>
      <xdr:spPr>
        <a:xfrm>
          <a:off x="9010650" y="1352550"/>
          <a:ext cx="2381249" cy="20193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C22CF42-7EFF-4DF7-8072-B06EA82E0B9F}" type="TxLink">
            <a:rPr lang="en-US" sz="1800" b="0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495301</xdr:colOff>
      <xdr:row>6</xdr:row>
      <xdr:rowOff>114300</xdr:rowOff>
    </xdr:from>
    <xdr:to>
      <xdr:col>10</xdr:col>
      <xdr:colOff>295275</xdr:colOff>
      <xdr:row>8</xdr:row>
      <xdr:rowOff>85725</xdr:rowOff>
    </xdr:to>
    <xdr:sp macro="" textlink="">
      <xdr:nvSpPr>
        <xdr:cNvPr id="5" name="Rectangle à coins arrondis 4"/>
        <xdr:cNvSpPr/>
      </xdr:nvSpPr>
      <xdr:spPr>
        <a:xfrm>
          <a:off x="9525001" y="1476375"/>
          <a:ext cx="1323974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chemeClr val="tx1"/>
              </a:solidFill>
            </a:rPr>
            <a:t>TOTAL</a:t>
          </a:r>
          <a:r>
            <a:rPr lang="fr-FR" sz="1800" b="1" baseline="0">
              <a:solidFill>
                <a:schemeClr val="tx1"/>
              </a:solidFill>
            </a:rPr>
            <a:t> MAI</a:t>
          </a:r>
          <a:endParaRPr lang="fr-FR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57150</xdr:rowOff>
    </xdr:from>
    <xdr:to>
      <xdr:col>7</xdr:col>
      <xdr:colOff>9526</xdr:colOff>
      <xdr:row>2</xdr:row>
      <xdr:rowOff>219074</xdr:rowOff>
    </xdr:to>
    <xdr:sp macro="" textlink="">
      <xdr:nvSpPr>
        <xdr:cNvPr id="2" name="Rectangle à coins arrondis 1"/>
        <xdr:cNvSpPr/>
      </xdr:nvSpPr>
      <xdr:spPr>
        <a:xfrm>
          <a:off x="762001" y="57150"/>
          <a:ext cx="7620000" cy="542924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JUIN</a:t>
          </a:r>
        </a:p>
      </xdr:txBody>
    </xdr:sp>
    <xdr:clientData/>
  </xdr:twoCellAnchor>
  <xdr:twoCellAnchor>
    <xdr:from>
      <xdr:col>7</xdr:col>
      <xdr:colOff>1152525</xdr:colOff>
      <xdr:row>0</xdr:row>
      <xdr:rowOff>123824</xdr:rowOff>
    </xdr:from>
    <xdr:to>
      <xdr:col>10</xdr:col>
      <xdr:colOff>161925</xdr:colOff>
      <xdr:row>2</xdr:row>
      <xdr:rowOff>152399</xdr:rowOff>
    </xdr:to>
    <xdr:sp macro="[0]!Tableau_de_bord" textlink="">
      <xdr:nvSpPr>
        <xdr:cNvPr id="3" name="Rectangle à coins arrondis 2"/>
        <xdr:cNvSpPr/>
      </xdr:nvSpPr>
      <xdr:spPr>
        <a:xfrm>
          <a:off x="9525000" y="123824"/>
          <a:ext cx="1704975" cy="409575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914400</xdr:colOff>
      <xdr:row>5</xdr:row>
      <xdr:rowOff>190499</xdr:rowOff>
    </xdr:from>
    <xdr:to>
      <xdr:col>11</xdr:col>
      <xdr:colOff>9524</xdr:colOff>
      <xdr:row>17</xdr:row>
      <xdr:rowOff>9524</xdr:rowOff>
    </xdr:to>
    <xdr:sp macro="" textlink="H1001">
      <xdr:nvSpPr>
        <xdr:cNvPr id="4" name="Rectangle à coins arrondis 3"/>
        <xdr:cNvSpPr/>
      </xdr:nvSpPr>
      <xdr:spPr>
        <a:xfrm>
          <a:off x="9163050" y="1343024"/>
          <a:ext cx="2324099" cy="21050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C66CD3-5701-4D6B-BB4D-D8E38779AA44}" type="TxLink">
            <a:rPr lang="en-US" sz="18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0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466725</xdr:colOff>
      <xdr:row>6</xdr:row>
      <xdr:rowOff>123825</xdr:rowOff>
    </xdr:from>
    <xdr:to>
      <xdr:col>10</xdr:col>
      <xdr:colOff>342900</xdr:colOff>
      <xdr:row>9</xdr:row>
      <xdr:rowOff>9525</xdr:rowOff>
    </xdr:to>
    <xdr:sp macro="" textlink="">
      <xdr:nvSpPr>
        <xdr:cNvPr id="5" name="Rectangle à coins arrondis 4"/>
        <xdr:cNvSpPr/>
      </xdr:nvSpPr>
      <xdr:spPr>
        <a:xfrm>
          <a:off x="9658350" y="1466850"/>
          <a:ext cx="1400175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chemeClr val="tx1"/>
              </a:solidFill>
            </a:rPr>
            <a:t>TOTAL JUIN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0</xdr:row>
      <xdr:rowOff>47625</xdr:rowOff>
    </xdr:from>
    <xdr:to>
      <xdr:col>7</xdr:col>
      <xdr:colOff>47625</xdr:colOff>
      <xdr:row>2</xdr:row>
      <xdr:rowOff>228599</xdr:rowOff>
    </xdr:to>
    <xdr:sp macro="" textlink="">
      <xdr:nvSpPr>
        <xdr:cNvPr id="2" name="Rectangle à coins arrondis 1"/>
        <xdr:cNvSpPr/>
      </xdr:nvSpPr>
      <xdr:spPr>
        <a:xfrm>
          <a:off x="761999" y="47625"/>
          <a:ext cx="7477126" cy="561974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JUILLET</a:t>
          </a:r>
        </a:p>
      </xdr:txBody>
    </xdr:sp>
    <xdr:clientData/>
  </xdr:twoCellAnchor>
  <xdr:twoCellAnchor>
    <xdr:from>
      <xdr:col>7</xdr:col>
      <xdr:colOff>1200150</xdr:colOff>
      <xdr:row>0</xdr:row>
      <xdr:rowOff>152401</xdr:rowOff>
    </xdr:from>
    <xdr:to>
      <xdr:col>10</xdr:col>
      <xdr:colOff>171450</xdr:colOff>
      <xdr:row>2</xdr:row>
      <xdr:rowOff>247651</xdr:rowOff>
    </xdr:to>
    <xdr:sp macro="[0]!Tableau_de_bord" textlink="">
      <xdr:nvSpPr>
        <xdr:cNvPr id="3" name="Rectangle à coins arrondis 2"/>
        <xdr:cNvSpPr/>
      </xdr:nvSpPr>
      <xdr:spPr>
        <a:xfrm>
          <a:off x="9391650" y="152401"/>
          <a:ext cx="1704975" cy="47625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1095375</xdr:colOff>
      <xdr:row>5</xdr:row>
      <xdr:rowOff>180975</xdr:rowOff>
    </xdr:from>
    <xdr:to>
      <xdr:col>10</xdr:col>
      <xdr:colOff>733425</xdr:colOff>
      <xdr:row>17</xdr:row>
      <xdr:rowOff>28575</xdr:rowOff>
    </xdr:to>
    <xdr:sp macro="" textlink="H1001">
      <xdr:nvSpPr>
        <xdr:cNvPr id="4" name="Rectangle à coins arrondis 3"/>
        <xdr:cNvSpPr/>
      </xdr:nvSpPr>
      <xdr:spPr>
        <a:xfrm>
          <a:off x="9286875" y="1323975"/>
          <a:ext cx="2371725" cy="2133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B1B7E40-75B6-4DBC-896C-1CC933B12CE3}" type="TxLink">
            <a:rPr lang="en-US" sz="18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0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161925</xdr:colOff>
      <xdr:row>6</xdr:row>
      <xdr:rowOff>123825</xdr:rowOff>
    </xdr:from>
    <xdr:to>
      <xdr:col>10</xdr:col>
      <xdr:colOff>276225</xdr:colOff>
      <xdr:row>8</xdr:row>
      <xdr:rowOff>171450</xdr:rowOff>
    </xdr:to>
    <xdr:sp macro="" textlink="">
      <xdr:nvSpPr>
        <xdr:cNvPr id="5" name="Rectangle à coins arrondis 4"/>
        <xdr:cNvSpPr/>
      </xdr:nvSpPr>
      <xdr:spPr>
        <a:xfrm>
          <a:off x="9563100" y="1457325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chemeClr val="tx1"/>
              </a:solidFill>
            </a:rPr>
            <a:t>TOTAL JUILLET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0</xdr:row>
      <xdr:rowOff>66675</xdr:rowOff>
    </xdr:from>
    <xdr:to>
      <xdr:col>6</xdr:col>
      <xdr:colOff>1743075</xdr:colOff>
      <xdr:row>2</xdr:row>
      <xdr:rowOff>238125</xdr:rowOff>
    </xdr:to>
    <xdr:sp macro="" textlink="">
      <xdr:nvSpPr>
        <xdr:cNvPr id="2" name="Rectangle à coins arrondis 1"/>
        <xdr:cNvSpPr/>
      </xdr:nvSpPr>
      <xdr:spPr>
        <a:xfrm>
          <a:off x="771524" y="66675"/>
          <a:ext cx="7448551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AOUT</a:t>
          </a:r>
        </a:p>
      </xdr:txBody>
    </xdr:sp>
    <xdr:clientData/>
  </xdr:twoCellAnchor>
  <xdr:twoCellAnchor>
    <xdr:from>
      <xdr:col>7</xdr:col>
      <xdr:colOff>990600</xdr:colOff>
      <xdr:row>0</xdr:row>
      <xdr:rowOff>104775</xdr:rowOff>
    </xdr:from>
    <xdr:to>
      <xdr:col>9</xdr:col>
      <xdr:colOff>723900</xdr:colOff>
      <xdr:row>2</xdr:row>
      <xdr:rowOff>190500</xdr:rowOff>
    </xdr:to>
    <xdr:sp macro="[0]!Tableau_de_bord" textlink="">
      <xdr:nvSpPr>
        <xdr:cNvPr id="3" name="Rectangle à coins arrondis 2"/>
        <xdr:cNvSpPr/>
      </xdr:nvSpPr>
      <xdr:spPr>
        <a:xfrm>
          <a:off x="9229725" y="104775"/>
          <a:ext cx="1514475" cy="466725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962025</xdr:colOff>
      <xdr:row>5</xdr:row>
      <xdr:rowOff>38099</xdr:rowOff>
    </xdr:from>
    <xdr:to>
      <xdr:col>11</xdr:col>
      <xdr:colOff>171450</xdr:colOff>
      <xdr:row>16</xdr:row>
      <xdr:rowOff>180974</xdr:rowOff>
    </xdr:to>
    <xdr:sp macro="" textlink="H1001">
      <xdr:nvSpPr>
        <xdr:cNvPr id="4" name="Rectangle à coins arrondis 3"/>
        <xdr:cNvSpPr/>
      </xdr:nvSpPr>
      <xdr:spPr>
        <a:xfrm>
          <a:off x="9134475" y="1190624"/>
          <a:ext cx="2514600" cy="22383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E6ED8F-1283-41B5-AC4E-B18CB86AF775}" type="TxLink">
            <a:rPr lang="en-US" sz="18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0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419101</xdr:colOff>
      <xdr:row>5</xdr:row>
      <xdr:rowOff>180976</xdr:rowOff>
    </xdr:from>
    <xdr:to>
      <xdr:col>10</xdr:col>
      <xdr:colOff>476251</xdr:colOff>
      <xdr:row>8</xdr:row>
      <xdr:rowOff>9526</xdr:rowOff>
    </xdr:to>
    <xdr:sp macro="" textlink="">
      <xdr:nvSpPr>
        <xdr:cNvPr id="7" name="Rectangle à coins arrondis 6"/>
        <xdr:cNvSpPr/>
      </xdr:nvSpPr>
      <xdr:spPr>
        <a:xfrm>
          <a:off x="9610726" y="1333501"/>
          <a:ext cx="1581150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ysClr val="windowText" lastClr="000000"/>
              </a:solidFill>
            </a:rPr>
            <a:t>TOTAL</a:t>
          </a:r>
          <a:r>
            <a:rPr lang="fr-FR" sz="1800" b="1" baseline="0">
              <a:solidFill>
                <a:sysClr val="windowText" lastClr="000000"/>
              </a:solidFill>
            </a:rPr>
            <a:t> AOUT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0</xdr:row>
      <xdr:rowOff>57150</xdr:rowOff>
    </xdr:from>
    <xdr:to>
      <xdr:col>6</xdr:col>
      <xdr:colOff>1914525</xdr:colOff>
      <xdr:row>2</xdr:row>
      <xdr:rowOff>238124</xdr:rowOff>
    </xdr:to>
    <xdr:sp macro="" textlink="">
      <xdr:nvSpPr>
        <xdr:cNvPr id="2" name="Rectangle à coins arrondis 1"/>
        <xdr:cNvSpPr/>
      </xdr:nvSpPr>
      <xdr:spPr>
        <a:xfrm>
          <a:off x="761999" y="57150"/>
          <a:ext cx="7419976" cy="561974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SEPTEMBRE</a:t>
          </a:r>
        </a:p>
      </xdr:txBody>
    </xdr:sp>
    <xdr:clientData/>
  </xdr:twoCellAnchor>
  <xdr:twoCellAnchor>
    <xdr:from>
      <xdr:col>8</xdr:col>
      <xdr:colOff>9525</xdr:colOff>
      <xdr:row>0</xdr:row>
      <xdr:rowOff>142875</xdr:rowOff>
    </xdr:from>
    <xdr:to>
      <xdr:col>10</xdr:col>
      <xdr:colOff>190500</xdr:colOff>
      <xdr:row>2</xdr:row>
      <xdr:rowOff>209550</xdr:rowOff>
    </xdr:to>
    <xdr:sp macro="[0]!Tableau_de_bord" textlink="">
      <xdr:nvSpPr>
        <xdr:cNvPr id="3" name="Rectangle à coins arrondis 2"/>
        <xdr:cNvSpPr/>
      </xdr:nvSpPr>
      <xdr:spPr>
        <a:xfrm>
          <a:off x="9286875" y="142875"/>
          <a:ext cx="1704975" cy="447675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1019175</xdr:colOff>
      <xdr:row>5</xdr:row>
      <xdr:rowOff>114300</xdr:rowOff>
    </xdr:from>
    <xdr:to>
      <xdr:col>11</xdr:col>
      <xdr:colOff>123825</xdr:colOff>
      <xdr:row>17</xdr:row>
      <xdr:rowOff>19050</xdr:rowOff>
    </xdr:to>
    <xdr:sp macro="" textlink="H1001">
      <xdr:nvSpPr>
        <xdr:cNvPr id="4" name="Rectangle à coins arrondis 3"/>
        <xdr:cNvSpPr/>
      </xdr:nvSpPr>
      <xdr:spPr>
        <a:xfrm>
          <a:off x="9210675" y="1276350"/>
          <a:ext cx="2476500" cy="2190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543E444-E60B-4735-82D0-F8CE9447F8F1}" type="TxLink">
            <a:rPr lang="en-US" sz="18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0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6</xdr:row>
      <xdr:rowOff>133351</xdr:rowOff>
    </xdr:from>
    <xdr:to>
      <xdr:col>10</xdr:col>
      <xdr:colOff>657225</xdr:colOff>
      <xdr:row>9</xdr:row>
      <xdr:rowOff>1</xdr:rowOff>
    </xdr:to>
    <xdr:sp macro="" textlink="">
      <xdr:nvSpPr>
        <xdr:cNvPr id="5" name="Rectangle à coins arrondis 4"/>
        <xdr:cNvSpPr/>
      </xdr:nvSpPr>
      <xdr:spPr>
        <a:xfrm>
          <a:off x="9372600" y="1485901"/>
          <a:ext cx="2085975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ysClr val="windowText" lastClr="000000"/>
              </a:solidFill>
            </a:rPr>
            <a:t>TOTAL</a:t>
          </a:r>
          <a:r>
            <a:rPr lang="fr-FR" sz="1800" b="1" baseline="0">
              <a:solidFill>
                <a:sysClr val="windowText" lastClr="000000"/>
              </a:solidFill>
            </a:rPr>
            <a:t> SEPTEMBRE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66675</xdr:rowOff>
    </xdr:from>
    <xdr:to>
      <xdr:col>7</xdr:col>
      <xdr:colOff>1</xdr:colOff>
      <xdr:row>2</xdr:row>
      <xdr:rowOff>238125</xdr:rowOff>
    </xdr:to>
    <xdr:sp macro="" textlink="">
      <xdr:nvSpPr>
        <xdr:cNvPr id="2" name="Rectangle à coins arrondis 1"/>
        <xdr:cNvSpPr/>
      </xdr:nvSpPr>
      <xdr:spPr>
        <a:xfrm>
          <a:off x="771526" y="66675"/>
          <a:ext cx="7181850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OCTOBRE</a:t>
          </a:r>
        </a:p>
      </xdr:txBody>
    </xdr:sp>
    <xdr:clientData/>
  </xdr:twoCellAnchor>
  <xdr:twoCellAnchor>
    <xdr:from>
      <xdr:col>7</xdr:col>
      <xdr:colOff>1047750</xdr:colOff>
      <xdr:row>0</xdr:row>
      <xdr:rowOff>133349</xdr:rowOff>
    </xdr:from>
    <xdr:to>
      <xdr:col>10</xdr:col>
      <xdr:colOff>133350</xdr:colOff>
      <xdr:row>2</xdr:row>
      <xdr:rowOff>180974</xdr:rowOff>
    </xdr:to>
    <xdr:sp macro="[0]!Tableau_de_bord" textlink="">
      <xdr:nvSpPr>
        <xdr:cNvPr id="3" name="Rectangle à coins arrondis 2"/>
        <xdr:cNvSpPr/>
      </xdr:nvSpPr>
      <xdr:spPr>
        <a:xfrm>
          <a:off x="9001125" y="133349"/>
          <a:ext cx="1704975" cy="428625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1019176</xdr:colOff>
      <xdr:row>5</xdr:row>
      <xdr:rowOff>171450</xdr:rowOff>
    </xdr:from>
    <xdr:to>
      <xdr:col>11</xdr:col>
      <xdr:colOff>104775</xdr:colOff>
      <xdr:row>17</xdr:row>
      <xdr:rowOff>0</xdr:rowOff>
    </xdr:to>
    <xdr:sp macro="" textlink="H1001">
      <xdr:nvSpPr>
        <xdr:cNvPr id="4" name="Rectangle à coins arrondis 3"/>
        <xdr:cNvSpPr/>
      </xdr:nvSpPr>
      <xdr:spPr>
        <a:xfrm>
          <a:off x="8972551" y="1304925"/>
          <a:ext cx="2466974" cy="2114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86D1F3-EEE5-403C-87CF-FDACC58D1B09}" type="TxLink">
            <a:rPr lang="en-US" sz="18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0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228601</xdr:colOff>
      <xdr:row>6</xdr:row>
      <xdr:rowOff>133350</xdr:rowOff>
    </xdr:from>
    <xdr:to>
      <xdr:col>10</xdr:col>
      <xdr:colOff>514351</xdr:colOff>
      <xdr:row>9</xdr:row>
      <xdr:rowOff>0</xdr:rowOff>
    </xdr:to>
    <xdr:sp macro="" textlink="">
      <xdr:nvSpPr>
        <xdr:cNvPr id="5" name="Rectangle à coins arrondis 4"/>
        <xdr:cNvSpPr/>
      </xdr:nvSpPr>
      <xdr:spPr>
        <a:xfrm>
          <a:off x="9277351" y="1457325"/>
          <a:ext cx="18097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ysClr val="windowText" lastClr="000000"/>
              </a:solidFill>
            </a:rPr>
            <a:t>TOTAL OCTOBRE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7</xdr:col>
      <xdr:colOff>19050</xdr:colOff>
      <xdr:row>2</xdr:row>
      <xdr:rowOff>238125</xdr:rowOff>
    </xdr:to>
    <xdr:sp macro="" textlink="">
      <xdr:nvSpPr>
        <xdr:cNvPr id="2" name="Rectangle à coins arrondis 1"/>
        <xdr:cNvSpPr/>
      </xdr:nvSpPr>
      <xdr:spPr>
        <a:xfrm>
          <a:off x="771525" y="66675"/>
          <a:ext cx="6600825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NOVEMBRE</a:t>
          </a:r>
        </a:p>
      </xdr:txBody>
    </xdr:sp>
    <xdr:clientData/>
  </xdr:twoCellAnchor>
  <xdr:twoCellAnchor>
    <xdr:from>
      <xdr:col>8</xdr:col>
      <xdr:colOff>752476</xdr:colOff>
      <xdr:row>1</xdr:row>
      <xdr:rowOff>1</xdr:rowOff>
    </xdr:from>
    <xdr:to>
      <xdr:col>11</xdr:col>
      <xdr:colOff>104776</xdr:colOff>
      <xdr:row>2</xdr:row>
      <xdr:rowOff>228601</xdr:rowOff>
    </xdr:to>
    <xdr:sp macro="[0]!Tableau_de_bord" textlink="">
      <xdr:nvSpPr>
        <xdr:cNvPr id="3" name="Rectangle à coins arrondis 2"/>
        <xdr:cNvSpPr/>
      </xdr:nvSpPr>
      <xdr:spPr>
        <a:xfrm>
          <a:off x="9172576" y="190501"/>
          <a:ext cx="1638300" cy="419100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8</xdr:col>
      <xdr:colOff>666750</xdr:colOff>
      <xdr:row>5</xdr:row>
      <xdr:rowOff>142874</xdr:rowOff>
    </xdr:from>
    <xdr:to>
      <xdr:col>12</xdr:col>
      <xdr:colOff>400050</xdr:colOff>
      <xdr:row>17</xdr:row>
      <xdr:rowOff>66675</xdr:rowOff>
    </xdr:to>
    <xdr:sp macro="" textlink="H1001">
      <xdr:nvSpPr>
        <xdr:cNvPr id="4" name="Rectangle à coins arrondis 3"/>
        <xdr:cNvSpPr/>
      </xdr:nvSpPr>
      <xdr:spPr>
        <a:xfrm>
          <a:off x="9086850" y="1285874"/>
          <a:ext cx="2781300" cy="220980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19709AA-21DA-4F18-BC87-697ABF994664}" type="TxLink">
            <a:rPr lang="en-US" sz="20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4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266700</xdr:colOff>
      <xdr:row>6</xdr:row>
      <xdr:rowOff>161925</xdr:rowOff>
    </xdr:from>
    <xdr:to>
      <xdr:col>12</xdr:col>
      <xdr:colOff>0</xdr:colOff>
      <xdr:row>9</xdr:row>
      <xdr:rowOff>57150</xdr:rowOff>
    </xdr:to>
    <xdr:sp macro="" textlink="">
      <xdr:nvSpPr>
        <xdr:cNvPr id="5" name="Rectangle à coins arrondis 4"/>
        <xdr:cNvSpPr/>
      </xdr:nvSpPr>
      <xdr:spPr>
        <a:xfrm>
          <a:off x="9448800" y="1495425"/>
          <a:ext cx="20193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 b="1">
              <a:solidFill>
                <a:sysClr val="windowText" lastClr="000000"/>
              </a:solidFill>
            </a:rPr>
            <a:t>TOTAL NOVEMBRE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95250</xdr:rowOff>
    </xdr:from>
    <xdr:to>
      <xdr:col>7</xdr:col>
      <xdr:colOff>19050</xdr:colOff>
      <xdr:row>2</xdr:row>
      <xdr:rowOff>228600</xdr:rowOff>
    </xdr:to>
    <xdr:sp macro="" textlink="">
      <xdr:nvSpPr>
        <xdr:cNvPr id="2" name="Rectangle à coins arrondis 1"/>
        <xdr:cNvSpPr/>
      </xdr:nvSpPr>
      <xdr:spPr>
        <a:xfrm>
          <a:off x="800100" y="95250"/>
          <a:ext cx="6962775" cy="5143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>
              <a:solidFill>
                <a:schemeClr val="tx1"/>
              </a:solidFill>
            </a:rPr>
            <a:t>VENTES DECEMBRE</a:t>
          </a:r>
        </a:p>
      </xdr:txBody>
    </xdr:sp>
    <xdr:clientData/>
  </xdr:twoCellAnchor>
  <xdr:twoCellAnchor>
    <xdr:from>
      <xdr:col>8</xdr:col>
      <xdr:colOff>9525</xdr:colOff>
      <xdr:row>0</xdr:row>
      <xdr:rowOff>152399</xdr:rowOff>
    </xdr:from>
    <xdr:to>
      <xdr:col>10</xdr:col>
      <xdr:colOff>190500</xdr:colOff>
      <xdr:row>2</xdr:row>
      <xdr:rowOff>219075</xdr:rowOff>
    </xdr:to>
    <xdr:sp macro="[0]!Tableau_de_bord" textlink="">
      <xdr:nvSpPr>
        <xdr:cNvPr id="3" name="Rectangle à coins arrondis 2"/>
        <xdr:cNvSpPr/>
      </xdr:nvSpPr>
      <xdr:spPr>
        <a:xfrm>
          <a:off x="8782050" y="152399"/>
          <a:ext cx="1704975" cy="447676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tx1"/>
              </a:solidFill>
            </a:rPr>
            <a:t>Tableau de bord</a:t>
          </a:r>
        </a:p>
      </xdr:txBody>
    </xdr:sp>
    <xdr:clientData/>
  </xdr:twoCellAnchor>
  <xdr:twoCellAnchor>
    <xdr:from>
      <xdr:col>7</xdr:col>
      <xdr:colOff>981075</xdr:colOff>
      <xdr:row>6</xdr:row>
      <xdr:rowOff>0</xdr:rowOff>
    </xdr:from>
    <xdr:to>
      <xdr:col>11</xdr:col>
      <xdr:colOff>447675</xdr:colOff>
      <xdr:row>17</xdr:row>
      <xdr:rowOff>19050</xdr:rowOff>
    </xdr:to>
    <xdr:sp macro="" textlink="H1001">
      <xdr:nvSpPr>
        <xdr:cNvPr id="13" name="Rectangle à coins arrondis 12"/>
        <xdr:cNvSpPr/>
      </xdr:nvSpPr>
      <xdr:spPr>
        <a:xfrm>
          <a:off x="8724900" y="1343025"/>
          <a:ext cx="2781300" cy="21145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FA849F-B9C0-4B81-AABE-C34E901D6491}" type="TxLink">
            <a:rPr lang="en-US" sz="2000" b="1" i="0" u="none" strike="noStrike">
              <a:solidFill>
                <a:srgbClr val="FF0000"/>
              </a:solidFill>
              <a:latin typeface="Calibri"/>
            </a:rPr>
            <a:pPr algn="ctr"/>
            <a:t> -   CFA </a:t>
          </a:fld>
          <a:endParaRPr lang="fr-FR" sz="2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304800</xdr:colOff>
      <xdr:row>6</xdr:row>
      <xdr:rowOff>142875</xdr:rowOff>
    </xdr:from>
    <xdr:to>
      <xdr:col>11</xdr:col>
      <xdr:colOff>257175</xdr:colOff>
      <xdr:row>9</xdr:row>
      <xdr:rowOff>104775</xdr:rowOff>
    </xdr:to>
    <xdr:sp macro="" textlink="">
      <xdr:nvSpPr>
        <xdr:cNvPr id="14" name="Rectangle à coins arrondis 13"/>
        <xdr:cNvSpPr/>
      </xdr:nvSpPr>
      <xdr:spPr>
        <a:xfrm>
          <a:off x="9077325" y="1485900"/>
          <a:ext cx="22383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="1">
              <a:solidFill>
                <a:schemeClr val="tx1"/>
              </a:solidFill>
            </a:rPr>
            <a:t>TOTAL DECEMBRE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B1:C5" totalsRowShown="0">
  <autoFilter ref="B1:C5"/>
  <tableColumns count="2">
    <tableColumn id="1" name="Produits"/>
    <tableColumn id="2" name="Pri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E1:E5" totalsRowShown="0">
  <autoFilter ref="E1:E5"/>
  <tableColumns count="1">
    <tableColumn id="1" name="Vendeur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H1:I2" totalsRowShown="0">
  <autoFilter ref="H1:I2"/>
  <tableColumns count="2">
    <tableColumn id="1" name="Produits"/>
    <tableColumn id="2" name="Prix">
      <calculatedColumnFormula>IFERROR(VLOOKUP(Tableau3[Produits],Tableau1[],2,FALSE),"")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16" name="Tableau317" displayName="Tableau317" ref="K1:L2" totalsRowShown="0">
  <autoFilter ref="K1:L2"/>
  <tableColumns count="2">
    <tableColumn id="1" name="Produits"/>
    <tableColumn id="2" name="Prix">
      <calculatedColumnFormula>IFERROR(VLOOKUP(Tableau317[Produits],Tableau1[],2,FALSE),"")</calculatedColumnFormula>
    </tableColumn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id="17" name="Tableau318" displayName="Tableau318" ref="N1:O2" totalsRowShown="0">
  <autoFilter ref="N1:O2"/>
  <tableColumns count="2">
    <tableColumn id="1" name="Produits"/>
    <tableColumn id="2" name="Prix">
      <calculatedColumnFormula>IFERROR(VLOOKUP(Tableau318[Produits],Tableau1[],2,FALSE),"")</calculatedColumnFormula>
    </tableColumn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id="18" name="Tableau319" displayName="Tableau319" ref="Q1:R2" totalsRowShown="0">
  <autoFilter ref="Q1:R2"/>
  <tableColumns count="2">
    <tableColumn id="1" name="Produits"/>
    <tableColumn id="2" name="Prix">
      <calculatedColumnFormula>IFERROR(VLOOKUP(Tableau319[Produits],Tableau1[],2,FALSE),"")</calculatedColumnFormula>
    </tableColumn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19" name="Tableau320" displayName="Tableau320" ref="T1:U2" totalsRowShown="0">
  <autoFilter ref="T1:U2"/>
  <tableColumns count="2">
    <tableColumn id="1" name="Produits"/>
    <tableColumn id="2" name="Prix">
      <calculatedColumnFormula>IFERROR(VLOOKUP(Tableau320[Produits],Tableau1[],2,FALSE),"")</calculatedColumnFormula>
    </tableColumn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20" name="Tableau20" displayName="Tableau20" ref="B4:G45" totalsRowShown="0" headerRowDxfId="95" dataDxfId="94">
  <autoFilter ref="B4:G45"/>
  <tableColumns count="6">
    <tableColumn id="1" name="Date" dataDxfId="93"/>
    <tableColumn id="2" name="Vendeur" dataDxfId="92"/>
    <tableColumn id="3" name="Nom du Produit" dataDxfId="91"/>
    <tableColumn id="4" name="Prix Unitaire" dataDxfId="90"/>
    <tableColumn id="5" name="Quantité" dataDxfId="89"/>
    <tableColumn id="6" name="Total" dataDxfId="88">
      <calculatedColumnFormula>Tableau20[[#This Row],[Prix Unitaire]]*Tableau20[[#This Row],[Quantité]]</calculatedColumnFormula>
    </tableColumn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id="21" name="Tableau2022" displayName="Tableau2022" ref="B4:G7" totalsRowShown="0" headerRowDxfId="87" dataDxfId="86">
  <autoFilter ref="B4:G7"/>
  <tableColumns count="6">
    <tableColumn id="1" name="Date" dataDxfId="85"/>
    <tableColumn id="2" name="Vendeur" dataDxfId="84"/>
    <tableColumn id="3" name="Nom du Produit" dataDxfId="83"/>
    <tableColumn id="4" name="Prix Unitaire" dataDxfId="82"/>
    <tableColumn id="5" name="Quantité" dataDxfId="81"/>
    <tableColumn id="6" name="Total" dataDxfId="80">
      <calculatedColumnFormula>Tableau2022[[#This Row],[Prix Unitaire]]*Tableau2022[[#This Row],[Quantité]]</calculatedColumnFormula>
    </tableColumn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id="22" name="Tableau2023" displayName="Tableau2023" ref="B4:G5" totalsRowShown="0" headerRowDxfId="79" dataDxfId="78">
  <autoFilter ref="B4:G5"/>
  <tableColumns count="6">
    <tableColumn id="1" name="Date" dataDxfId="77"/>
    <tableColumn id="2" name="Vendeur" dataDxfId="76"/>
    <tableColumn id="3" name="Nom du Produit" dataDxfId="75"/>
    <tableColumn id="4" name="Prix Unitaire" dataDxfId="74"/>
    <tableColumn id="5" name="Quantité" dataDxfId="73"/>
    <tableColumn id="6" name="Total" dataDxfId="72">
      <calculatedColumnFormula>Tableau2023[Prix Unitaire]*Tableau2023[Quantité]</calculatedColumnFormula>
    </tableColumn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id="23" name="Tableau2024" displayName="Tableau2024" ref="B4:G5" totalsRowShown="0" headerRowDxfId="71" dataDxfId="70">
  <autoFilter ref="B4:G5"/>
  <tableColumns count="6">
    <tableColumn id="1" name="Date" dataDxfId="69"/>
    <tableColumn id="2" name="Vendeur" dataDxfId="68"/>
    <tableColumn id="3" name="Nom du Produit" dataDxfId="67"/>
    <tableColumn id="4" name="Prix Unitaire" dataDxfId="66"/>
    <tableColumn id="5" name="Quantité" dataDxfId="65"/>
    <tableColumn id="6" name="Total" dataDxfId="64">
      <calculatedColumnFormula>Tableau2024[Prix Unitaire]*Tableau2024[Quantité]</calculatedColumnFormula>
    </tableColumn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id="24" name="Tableau2025" displayName="Tableau2025" ref="B4:G5" totalsRowShown="0" headerRowDxfId="63" dataDxfId="62">
  <autoFilter ref="B4:G5"/>
  <tableColumns count="6">
    <tableColumn id="1" name="Date" dataDxfId="61"/>
    <tableColumn id="2" name="Vendeur" dataDxfId="60"/>
    <tableColumn id="3" name="Nom du Produit" dataDxfId="59"/>
    <tableColumn id="4" name="Prix Unitaire" dataDxfId="58"/>
    <tableColumn id="5" name="Quantité" dataDxfId="57"/>
    <tableColumn id="6" name="Total" dataDxfId="56">
      <calculatedColumnFormula>Tableau2025[Prix Unitaire]*Tableau2025[Quantité]</calculatedColumnFormula>
    </tableColumn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id="25" name="Tableau2026" displayName="Tableau2026" ref="B4:G5" totalsRowShown="0" headerRowDxfId="55" dataDxfId="54">
  <autoFilter ref="B4:G5"/>
  <tableColumns count="6">
    <tableColumn id="1" name="Date" dataDxfId="53"/>
    <tableColumn id="2" name="Vendeur" dataDxfId="52"/>
    <tableColumn id="3" name="Nom du Produit" dataDxfId="51"/>
    <tableColumn id="4" name="Prix Unitaire" dataDxfId="50"/>
    <tableColumn id="5" name="Quantité" dataDxfId="49"/>
    <tableColumn id="6" name="Total" dataDxfId="48">
      <calculatedColumnFormula>Tableau2026[Prix Unitaire]*Tableau2026[Quantité]</calculatedColumnFormula>
    </tableColumn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id="26" name="Tableau2027" displayName="Tableau2027" ref="B4:G5" totalsRowShown="0" headerRowDxfId="47" dataDxfId="46">
  <autoFilter ref="B4:G5"/>
  <tableColumns count="6">
    <tableColumn id="1" name="Date" dataDxfId="45"/>
    <tableColumn id="2" name="Vendeur" dataDxfId="44"/>
    <tableColumn id="3" name="Nom du Produit" dataDxfId="43"/>
    <tableColumn id="4" name="Prix Unitaire" dataDxfId="42"/>
    <tableColumn id="5" name="Quantité" dataDxfId="41"/>
    <tableColumn id="6" name="Total" dataDxfId="40">
      <calculatedColumnFormula>Tableau2027[Prix Unitaire]*Tableau2027[Quantité]</calculatedColumnFormula>
    </tableColumn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7" name="Tableau2028" displayName="Tableau2028" ref="B4:G5" totalsRowShown="0" headerRowDxfId="39" dataDxfId="38">
  <autoFilter ref="B4:G5"/>
  <tableColumns count="6">
    <tableColumn id="1" name="Date" dataDxfId="37"/>
    <tableColumn id="2" name="Vendeur" dataDxfId="36"/>
    <tableColumn id="3" name="Nom du Produit" dataDxfId="35"/>
    <tableColumn id="4" name="Prix Unitaire" dataDxfId="34"/>
    <tableColumn id="5" name="Quantité" dataDxfId="33"/>
    <tableColumn id="6" name="Total" dataDxfId="32">
      <calculatedColumnFormula>Tableau2028[Prix Unitaire]*Tableau2028[Quantité]</calculatedColumnFormula>
    </tableColumn>
  </tableColumns>
  <tableStyleInfo name="TableStyleMedium5" showFirstColumn="0" showLastColumn="0" showRowStripes="1" showColumnStripes="0"/>
</table>
</file>

<file path=xl/tables/table16.xml><?xml version="1.0" encoding="utf-8"?>
<table xmlns="http://schemas.openxmlformats.org/spreadsheetml/2006/main" id="28" name="Tableau2029" displayName="Tableau2029" ref="B4:G5" totalsRowShown="0" headerRowDxfId="31" dataDxfId="30">
  <autoFilter ref="B4:G5"/>
  <tableColumns count="6">
    <tableColumn id="1" name="Date" dataDxfId="29"/>
    <tableColumn id="2" name="Vendeur" dataDxfId="28"/>
    <tableColumn id="3" name="Nom du Produit" dataDxfId="27"/>
    <tableColumn id="4" name="Prix Unitaire" dataDxfId="26"/>
    <tableColumn id="5" name="Quantité" dataDxfId="25"/>
    <tableColumn id="6" name="Total" dataDxfId="24">
      <calculatedColumnFormula>Tableau2029[Prix Unitaire]*Tableau2029[Quantité]</calculatedColumnFormula>
    </tableColumn>
  </tableColumns>
  <tableStyleInfo name="TableStyleMedium5" showFirstColumn="0" showLastColumn="0" showRowStripes="1" showColumnStripes="0"/>
</table>
</file>

<file path=xl/tables/table17.xml><?xml version="1.0" encoding="utf-8"?>
<table xmlns="http://schemas.openxmlformats.org/spreadsheetml/2006/main" id="29" name="Tableau2030" displayName="Tableau2030" ref="B4:G5" totalsRowShown="0" headerRowDxfId="23" dataDxfId="22">
  <autoFilter ref="B4:G5"/>
  <tableColumns count="6">
    <tableColumn id="1" name="Date" dataDxfId="21"/>
    <tableColumn id="2" name="Vendeur" dataDxfId="20"/>
    <tableColumn id="3" name="Nom du Produit" dataDxfId="19"/>
    <tableColumn id="4" name="Prix Unitaire" dataDxfId="18"/>
    <tableColumn id="5" name="Quantité" dataDxfId="17"/>
    <tableColumn id="6" name="Total" dataDxfId="16">
      <calculatedColumnFormula>Tableau2030[Prix Unitaire]*Tableau2030[Quantité]</calculatedColumnFormula>
    </tableColumn>
  </tableColumns>
  <tableStyleInfo name="TableStyleMedium5" showFirstColumn="0" showLastColumn="0" showRowStripes="1" showColumnStripes="0"/>
</table>
</file>

<file path=xl/tables/table18.xml><?xml version="1.0" encoding="utf-8"?>
<table xmlns="http://schemas.openxmlformats.org/spreadsheetml/2006/main" id="30" name="Tableau2031" displayName="Tableau2031" ref="B4:G5" totalsRowShown="0" headerRowDxfId="15" dataDxfId="14">
  <autoFilter ref="B4:G5"/>
  <tableColumns count="6">
    <tableColumn id="1" name="Date" dataDxfId="13"/>
    <tableColumn id="2" name="Vendeur" dataDxfId="12"/>
    <tableColumn id="3" name="Nom du Produit" dataDxfId="11"/>
    <tableColumn id="4" name="Prix Unitaire" dataDxfId="10"/>
    <tableColumn id="5" name="Quantité" dataDxfId="9"/>
    <tableColumn id="6" name="Total" dataDxfId="8">
      <calculatedColumnFormula>Tableau2031[Prix Unitaire]*Tableau2031[Quantité]</calculatedColumnFormula>
    </tableColumn>
  </tableColumns>
  <tableStyleInfo name="TableStyleMedium5" showFirstColumn="0" showLastColumn="0" showRowStripes="1" showColumnStripes="0"/>
</table>
</file>

<file path=xl/tables/table19.xml><?xml version="1.0" encoding="utf-8"?>
<table xmlns="http://schemas.openxmlformats.org/spreadsheetml/2006/main" id="31" name="Tableau2032" displayName="Tableau2032" ref="B4:G5" totalsRowShown="0" headerRowDxfId="7" dataDxfId="6">
  <autoFilter ref="B4:G5"/>
  <tableColumns count="6">
    <tableColumn id="1" name="Date" dataDxfId="5"/>
    <tableColumn id="2" name="Vendeur" dataDxfId="4"/>
    <tableColumn id="3" name="Nom du Produit" dataDxfId="3"/>
    <tableColumn id="4" name="Prix Unitaire" dataDxfId="2"/>
    <tableColumn id="5" name="Quantité" dataDxfId="1"/>
    <tableColumn id="6" name="Total" dataDxfId="0">
      <calculatedColumnFormula>Tableau2032[Prix Unitaire]*Tableau2032[Quantité]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4:K26"/>
  <sheetViews>
    <sheetView topLeftCell="A2" workbookViewId="0">
      <selection activeCell="M13" sqref="M13"/>
    </sheetView>
  </sheetViews>
  <sheetFormatPr baseColWidth="10" defaultRowHeight="15" x14ac:dyDescent="0.25"/>
  <cols>
    <col min="1" max="16384" width="11.42578125" style="31"/>
  </cols>
  <sheetData>
    <row r="4" spans="1:11" x14ac:dyDescent="0.25">
      <c r="K4" s="31" t="s">
        <v>15</v>
      </c>
    </row>
    <row r="6" spans="1:11" x14ac:dyDescent="0.25">
      <c r="A6" s="32"/>
      <c r="B6" s="32"/>
      <c r="C6" s="32"/>
    </row>
    <row r="7" spans="1:11" x14ac:dyDescent="0.25">
      <c r="A7" s="32"/>
      <c r="B7" s="32"/>
      <c r="C7" s="32"/>
    </row>
    <row r="8" spans="1:11" x14ac:dyDescent="0.25">
      <c r="A8" s="32"/>
      <c r="B8" s="32"/>
      <c r="C8" s="32"/>
    </row>
    <row r="9" spans="1:11" x14ac:dyDescent="0.25">
      <c r="A9" s="32"/>
      <c r="B9" s="32"/>
      <c r="C9" s="32"/>
    </row>
    <row r="10" spans="1:11" x14ac:dyDescent="0.25">
      <c r="A10" s="32"/>
      <c r="B10" s="32"/>
      <c r="C10" s="32"/>
    </row>
    <row r="11" spans="1:11" x14ac:dyDescent="0.25">
      <c r="A11" s="32"/>
      <c r="B11" s="32"/>
      <c r="C11" s="32"/>
    </row>
    <row r="12" spans="1:11" x14ac:dyDescent="0.25">
      <c r="A12" s="32"/>
      <c r="B12" s="32"/>
      <c r="C12" s="32"/>
    </row>
    <row r="13" spans="1:11" x14ac:dyDescent="0.25">
      <c r="A13" s="32"/>
      <c r="B13" s="32"/>
      <c r="C13" s="32"/>
    </row>
    <row r="14" spans="1:11" x14ac:dyDescent="0.25">
      <c r="A14" s="32"/>
      <c r="B14" s="32"/>
      <c r="C14" s="32"/>
    </row>
    <row r="15" spans="1:11" x14ac:dyDescent="0.25">
      <c r="A15" s="32"/>
      <c r="B15" s="32"/>
      <c r="C15" s="32"/>
    </row>
    <row r="16" spans="1:11" x14ac:dyDescent="0.25">
      <c r="A16" s="32"/>
      <c r="B16" s="32"/>
      <c r="C16" s="32"/>
    </row>
    <row r="17" spans="1:9" x14ac:dyDescent="0.25">
      <c r="A17" s="32"/>
      <c r="B17" s="32"/>
      <c r="C17" s="32"/>
    </row>
    <row r="18" spans="1:9" x14ac:dyDescent="0.25">
      <c r="A18" s="32"/>
      <c r="B18" s="32"/>
      <c r="C18" s="32"/>
    </row>
    <row r="19" spans="1:9" x14ac:dyDescent="0.25">
      <c r="A19" s="32"/>
      <c r="B19" s="32"/>
      <c r="C19" s="32"/>
    </row>
    <row r="20" spans="1:9" x14ac:dyDescent="0.25">
      <c r="A20" s="32"/>
      <c r="B20" s="32"/>
      <c r="C20" s="32"/>
    </row>
    <row r="21" spans="1:9" x14ac:dyDescent="0.25">
      <c r="A21" s="32"/>
      <c r="B21" s="32"/>
      <c r="C21" s="32"/>
    </row>
    <row r="22" spans="1:9" x14ac:dyDescent="0.25">
      <c r="A22" s="32"/>
      <c r="B22" s="32"/>
      <c r="C22" s="32"/>
    </row>
    <row r="23" spans="1:9" x14ac:dyDescent="0.25">
      <c r="A23" s="32"/>
      <c r="B23" s="32"/>
      <c r="C23" s="32"/>
      <c r="I23" s="31" t="s">
        <v>26</v>
      </c>
    </row>
    <row r="24" spans="1:9" x14ac:dyDescent="0.25">
      <c r="A24" s="32"/>
      <c r="B24" s="32"/>
      <c r="C24" s="32"/>
    </row>
    <row r="26" spans="1:9" x14ac:dyDescent="0.25">
      <c r="D26" s="31" t="s">
        <v>15</v>
      </c>
    </row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B1:G27"/>
  <sheetViews>
    <sheetView showGridLines="0" zoomScale="84" zoomScaleNormal="84" workbookViewId="0">
      <selection activeCell="B7" sqref="B7"/>
    </sheetView>
  </sheetViews>
  <sheetFormatPr baseColWidth="10" defaultRowHeight="15" x14ac:dyDescent="0.25"/>
  <cols>
    <col min="1" max="1" width="3.140625" style="35" customWidth="1"/>
    <col min="2" max="2" width="19.85546875" style="35" customWidth="1"/>
    <col min="3" max="3" width="0.85546875" style="35" customWidth="1"/>
    <col min="4" max="4" width="32.140625" style="35" customWidth="1"/>
    <col min="5" max="5" width="15.7109375" style="35" customWidth="1"/>
    <col min="6" max="6" width="15" style="35" bestFit="1" customWidth="1"/>
    <col min="7" max="7" width="21.7109375" style="35" customWidth="1"/>
    <col min="8" max="16384" width="11.42578125" style="35"/>
  </cols>
  <sheetData>
    <row r="1" spans="2:7" ht="3.75" customHeight="1" x14ac:dyDescent="0.25">
      <c r="B1" s="34"/>
      <c r="C1" s="34"/>
      <c r="D1" s="34"/>
      <c r="E1" s="34"/>
      <c r="F1" s="34"/>
      <c r="G1" s="34"/>
    </row>
    <row r="2" spans="2:7" ht="26.25" x14ac:dyDescent="0.25">
      <c r="B2" s="36" t="s">
        <v>44</v>
      </c>
      <c r="C2" s="36"/>
      <c r="D2" s="36"/>
      <c r="E2" s="36"/>
      <c r="F2" s="36"/>
      <c r="G2" s="36"/>
    </row>
    <row r="3" spans="2:7" ht="3" customHeight="1" x14ac:dyDescent="0.25">
      <c r="B3" s="34"/>
      <c r="C3" s="34"/>
      <c r="D3" s="34"/>
      <c r="E3" s="34"/>
      <c r="F3" s="34"/>
      <c r="G3" s="34"/>
    </row>
    <row r="4" spans="2:7" ht="63" customHeight="1" x14ac:dyDescent="0.25">
      <c r="B4" s="52" t="s">
        <v>46</v>
      </c>
      <c r="C4" s="53"/>
      <c r="D4" s="53"/>
      <c r="E4" s="53"/>
      <c r="F4" s="53"/>
      <c r="G4" s="53"/>
    </row>
    <row r="5" spans="2:7" ht="18.75" x14ac:dyDescent="0.3">
      <c r="B5" s="60">
        <f ca="1">TODAY()</f>
        <v>43559</v>
      </c>
      <c r="C5" s="47"/>
      <c r="D5" s="54"/>
      <c r="E5" s="54"/>
      <c r="F5" s="64"/>
      <c r="G5" s="64"/>
    </row>
    <row r="6" spans="2:7" ht="3.75" customHeight="1" thickBot="1" x14ac:dyDescent="0.3">
      <c r="B6" s="37"/>
      <c r="C6" s="38"/>
      <c r="D6" s="59" t="s">
        <v>2</v>
      </c>
      <c r="E6" s="59">
        <v>5000</v>
      </c>
      <c r="F6" s="59">
        <v>5</v>
      </c>
      <c r="G6" s="59"/>
    </row>
    <row r="7" spans="2:7" ht="15.75" x14ac:dyDescent="0.25">
      <c r="B7" s="35" t="s">
        <v>43</v>
      </c>
      <c r="D7" s="56" t="s">
        <v>0</v>
      </c>
      <c r="E7" s="57" t="s">
        <v>14</v>
      </c>
      <c r="F7" s="57" t="s">
        <v>12</v>
      </c>
      <c r="G7" s="58" t="s">
        <v>41</v>
      </c>
    </row>
    <row r="8" spans="2:7" x14ac:dyDescent="0.25">
      <c r="B8" s="65" t="s">
        <v>45</v>
      </c>
      <c r="D8" s="39" t="s">
        <v>5</v>
      </c>
      <c r="E8" s="40">
        <v>500</v>
      </c>
      <c r="F8" s="41">
        <v>10</v>
      </c>
      <c r="G8" s="42">
        <f>E8*F8</f>
        <v>5000</v>
      </c>
    </row>
    <row r="9" spans="2:7" x14ac:dyDescent="0.25">
      <c r="B9" s="65"/>
      <c r="D9" s="39"/>
      <c r="E9" s="40"/>
      <c r="F9" s="41"/>
      <c r="G9" s="42">
        <f t="shared" ref="G9:G22" si="0">E9*F9</f>
        <v>0</v>
      </c>
    </row>
    <row r="10" spans="2:7" x14ac:dyDescent="0.25">
      <c r="B10" s="65"/>
      <c r="D10" s="39"/>
      <c r="E10" s="40"/>
      <c r="F10" s="41"/>
      <c r="G10" s="42">
        <f t="shared" si="0"/>
        <v>0</v>
      </c>
    </row>
    <row r="11" spans="2:7" x14ac:dyDescent="0.25">
      <c r="B11" s="65"/>
      <c r="D11" s="39"/>
      <c r="E11" s="40"/>
      <c r="F11" s="41"/>
      <c r="G11" s="42">
        <f t="shared" si="0"/>
        <v>0</v>
      </c>
    </row>
    <row r="12" spans="2:7" x14ac:dyDescent="0.25">
      <c r="B12" s="65"/>
      <c r="D12" s="39"/>
      <c r="E12" s="40"/>
      <c r="F12" s="41"/>
      <c r="G12" s="42">
        <f t="shared" si="0"/>
        <v>0</v>
      </c>
    </row>
    <row r="13" spans="2:7" x14ac:dyDescent="0.25">
      <c r="B13" s="65"/>
      <c r="D13" s="39"/>
      <c r="E13" s="40"/>
      <c r="F13" s="41"/>
      <c r="G13" s="42">
        <f t="shared" si="0"/>
        <v>0</v>
      </c>
    </row>
    <row r="14" spans="2:7" x14ac:dyDescent="0.25">
      <c r="B14" s="65"/>
      <c r="D14" s="39"/>
      <c r="E14" s="40"/>
      <c r="F14" s="41"/>
      <c r="G14" s="42">
        <f t="shared" si="0"/>
        <v>0</v>
      </c>
    </row>
    <row r="15" spans="2:7" x14ac:dyDescent="0.25">
      <c r="B15" s="65"/>
      <c r="D15" s="39"/>
      <c r="E15" s="40"/>
      <c r="F15" s="41"/>
      <c r="G15" s="42">
        <f t="shared" si="0"/>
        <v>0</v>
      </c>
    </row>
    <row r="16" spans="2:7" x14ac:dyDescent="0.25">
      <c r="D16" s="39"/>
      <c r="E16" s="40"/>
      <c r="F16" s="41"/>
      <c r="G16" s="42">
        <f t="shared" si="0"/>
        <v>0</v>
      </c>
    </row>
    <row r="17" spans="4:7" x14ac:dyDescent="0.25">
      <c r="D17" s="39"/>
      <c r="E17" s="40"/>
      <c r="F17" s="41"/>
      <c r="G17" s="42">
        <f t="shared" si="0"/>
        <v>0</v>
      </c>
    </row>
    <row r="18" spans="4:7" x14ac:dyDescent="0.25">
      <c r="D18" s="39"/>
      <c r="E18" s="40"/>
      <c r="F18" s="41"/>
      <c r="G18" s="42">
        <f t="shared" si="0"/>
        <v>0</v>
      </c>
    </row>
    <row r="19" spans="4:7" x14ac:dyDescent="0.25">
      <c r="D19" s="39"/>
      <c r="E19" s="40"/>
      <c r="F19" s="41"/>
      <c r="G19" s="42">
        <f t="shared" si="0"/>
        <v>0</v>
      </c>
    </row>
    <row r="20" spans="4:7" x14ac:dyDescent="0.25">
      <c r="D20" s="39"/>
      <c r="E20" s="40"/>
      <c r="F20" s="41"/>
      <c r="G20" s="42">
        <f t="shared" si="0"/>
        <v>0</v>
      </c>
    </row>
    <row r="21" spans="4:7" x14ac:dyDescent="0.25">
      <c r="D21" s="39"/>
      <c r="E21" s="40"/>
      <c r="F21" s="41"/>
      <c r="G21" s="42">
        <f t="shared" si="0"/>
        <v>0</v>
      </c>
    </row>
    <row r="22" spans="4:7" x14ac:dyDescent="0.25">
      <c r="D22" s="39"/>
      <c r="E22" s="40"/>
      <c r="F22" s="41"/>
      <c r="G22" s="42">
        <f t="shared" si="0"/>
        <v>0</v>
      </c>
    </row>
    <row r="23" spans="4:7" ht="16.5" thickBot="1" x14ac:dyDescent="0.3">
      <c r="D23" s="43" t="s">
        <v>42</v>
      </c>
      <c r="E23" s="44"/>
      <c r="F23" s="44"/>
      <c r="G23" s="45">
        <f>SUM(G8:G22)</f>
        <v>5000</v>
      </c>
    </row>
    <row r="24" spans="4:7" ht="4.5" customHeight="1" thickBot="1" x14ac:dyDescent="0.3">
      <c r="D24" s="46" t="s">
        <v>2</v>
      </c>
      <c r="E24" s="46">
        <v>5000</v>
      </c>
      <c r="F24" s="46">
        <v>2</v>
      </c>
      <c r="G24" s="46"/>
    </row>
    <row r="25" spans="4:7" x14ac:dyDescent="0.25">
      <c r="D25" s="47"/>
      <c r="E25" s="47"/>
      <c r="F25" s="48"/>
      <c r="G25" s="49">
        <f>G23*0.18</f>
        <v>900</v>
      </c>
    </row>
    <row r="26" spans="4:7" x14ac:dyDescent="0.25">
      <c r="D26" s="47"/>
      <c r="E26" s="47"/>
      <c r="F26" s="39"/>
      <c r="G26" s="50"/>
    </row>
    <row r="27" spans="4:7" ht="15.75" thickBot="1" x14ac:dyDescent="0.3">
      <c r="D27" s="47"/>
      <c r="E27" s="47"/>
      <c r="F27" s="51"/>
      <c r="G27" s="45">
        <f>G23+G25-G26</f>
        <v>5900</v>
      </c>
    </row>
  </sheetData>
  <sheetProtection selectLockedCells="1"/>
  <mergeCells count="2">
    <mergeCell ref="F5:G5"/>
    <mergeCell ref="B8:B1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2:J23"/>
  <sheetViews>
    <sheetView showGridLines="0" tabSelected="1" workbookViewId="0">
      <selection activeCell="H16" sqref="H16"/>
    </sheetView>
  </sheetViews>
  <sheetFormatPr baseColWidth="10" defaultRowHeight="15" x14ac:dyDescent="0.25"/>
  <cols>
    <col min="2" max="2" width="19.28515625" customWidth="1"/>
    <col min="3" max="3" width="17.140625" customWidth="1"/>
    <col min="4" max="4" width="18.42578125" bestFit="1" customWidth="1"/>
    <col min="5" max="5" width="15.85546875" customWidth="1"/>
  </cols>
  <sheetData>
    <row r="2" spans="1:6" x14ac:dyDescent="0.25">
      <c r="A2" s="16"/>
      <c r="B2" s="17"/>
      <c r="C2" s="17"/>
      <c r="D2" s="17"/>
      <c r="E2" s="17"/>
      <c r="F2" s="18"/>
    </row>
    <row r="3" spans="1:6" x14ac:dyDescent="0.25">
      <c r="A3" s="16"/>
      <c r="B3" s="17"/>
      <c r="C3" s="17"/>
      <c r="D3" s="17"/>
      <c r="E3" s="17"/>
      <c r="F3" s="18"/>
    </row>
    <row r="4" spans="1:6" x14ac:dyDescent="0.25">
      <c r="A4" s="16"/>
      <c r="B4" s="17"/>
      <c r="C4" s="17"/>
      <c r="D4" s="17"/>
      <c r="E4" s="17"/>
      <c r="F4" s="18"/>
    </row>
    <row r="5" spans="1:6" x14ac:dyDescent="0.25">
      <c r="A5" s="16"/>
      <c r="B5" s="14" t="s">
        <v>21</v>
      </c>
      <c r="C5" s="14" t="s">
        <v>14</v>
      </c>
      <c r="D5" s="14" t="s">
        <v>47</v>
      </c>
      <c r="E5" s="14" t="s">
        <v>22</v>
      </c>
      <c r="F5" s="18"/>
    </row>
    <row r="6" spans="1:6" x14ac:dyDescent="0.25">
      <c r="A6" s="16"/>
      <c r="B6" s="2" t="s">
        <v>5</v>
      </c>
      <c r="C6" s="2"/>
      <c r="D6" s="2">
        <v>1</v>
      </c>
      <c r="E6" s="2" t="str">
        <f>IF(C6=0,"",C6*D6)</f>
        <v/>
      </c>
      <c r="F6" s="18"/>
    </row>
    <row r="7" spans="1:6" x14ac:dyDescent="0.25">
      <c r="A7" s="16"/>
      <c r="B7" s="2"/>
      <c r="C7" s="2"/>
      <c r="D7" s="2"/>
      <c r="E7" s="2" t="str">
        <f t="shared" ref="E7:E20" si="0">IF(C7=0,"",C7*D7)</f>
        <v/>
      </c>
      <c r="F7" s="18"/>
    </row>
    <row r="8" spans="1:6" x14ac:dyDescent="0.25">
      <c r="A8" s="16"/>
      <c r="B8" s="2"/>
      <c r="C8" s="2"/>
      <c r="D8" s="2"/>
      <c r="E8" s="2" t="str">
        <f t="shared" si="0"/>
        <v/>
      </c>
      <c r="F8" s="18"/>
    </row>
    <row r="9" spans="1:6" x14ac:dyDescent="0.25">
      <c r="A9" s="16"/>
      <c r="B9" s="2"/>
      <c r="C9" s="2"/>
      <c r="D9" s="2"/>
      <c r="E9" s="2" t="str">
        <f t="shared" si="0"/>
        <v/>
      </c>
      <c r="F9" s="18"/>
    </row>
    <row r="10" spans="1:6" x14ac:dyDescent="0.25">
      <c r="A10" s="16"/>
      <c r="B10" s="2"/>
      <c r="C10" s="2"/>
      <c r="D10" s="2"/>
      <c r="E10" s="2" t="str">
        <f t="shared" si="0"/>
        <v/>
      </c>
      <c r="F10" s="18"/>
    </row>
    <row r="11" spans="1:6" x14ac:dyDescent="0.25">
      <c r="A11" s="16"/>
      <c r="B11" s="2"/>
      <c r="C11" s="2"/>
      <c r="D11" s="2"/>
      <c r="E11" s="2" t="str">
        <f t="shared" si="0"/>
        <v/>
      </c>
      <c r="F11" s="18"/>
    </row>
    <row r="12" spans="1:6" x14ac:dyDescent="0.25">
      <c r="A12" s="16"/>
      <c r="B12" s="2"/>
      <c r="C12" s="2"/>
      <c r="D12" s="2"/>
      <c r="E12" s="2" t="str">
        <f t="shared" si="0"/>
        <v/>
      </c>
      <c r="F12" s="18"/>
    </row>
    <row r="13" spans="1:6" x14ac:dyDescent="0.25">
      <c r="A13" s="16"/>
      <c r="B13" s="2"/>
      <c r="C13" s="2"/>
      <c r="D13" s="2"/>
      <c r="E13" s="2" t="str">
        <f t="shared" si="0"/>
        <v/>
      </c>
      <c r="F13" s="18"/>
    </row>
    <row r="14" spans="1:6" x14ac:dyDescent="0.25">
      <c r="A14" s="16"/>
      <c r="B14" s="2"/>
      <c r="C14" s="2"/>
      <c r="D14" s="2"/>
      <c r="E14" s="2" t="str">
        <f t="shared" si="0"/>
        <v/>
      </c>
      <c r="F14" s="18"/>
    </row>
    <row r="15" spans="1:6" x14ac:dyDescent="0.25">
      <c r="A15" s="16"/>
      <c r="B15" s="2"/>
      <c r="C15" s="2"/>
      <c r="D15" s="2"/>
      <c r="E15" s="2" t="str">
        <f t="shared" si="0"/>
        <v/>
      </c>
      <c r="F15" s="18"/>
    </row>
    <row r="16" spans="1:6" x14ac:dyDescent="0.25">
      <c r="A16" s="16"/>
      <c r="B16" s="2"/>
      <c r="C16" s="2"/>
      <c r="D16" s="2"/>
      <c r="E16" s="2" t="str">
        <f t="shared" si="0"/>
        <v/>
      </c>
      <c r="F16" s="18"/>
    </row>
    <row r="17" spans="1:10" x14ac:dyDescent="0.25">
      <c r="A17" s="16"/>
      <c r="B17" s="2"/>
      <c r="C17" s="2"/>
      <c r="D17" s="2"/>
      <c r="E17" s="2" t="str">
        <f t="shared" si="0"/>
        <v/>
      </c>
      <c r="F17" s="18"/>
    </row>
    <row r="18" spans="1:10" x14ac:dyDescent="0.25">
      <c r="A18" s="16"/>
      <c r="B18" s="2"/>
      <c r="C18" s="2"/>
      <c r="D18" s="2"/>
      <c r="E18" s="2" t="str">
        <f t="shared" si="0"/>
        <v/>
      </c>
      <c r="F18" s="18"/>
    </row>
    <row r="19" spans="1:10" x14ac:dyDescent="0.25">
      <c r="A19" s="16"/>
      <c r="B19" s="2"/>
      <c r="C19" s="2"/>
      <c r="D19" s="2"/>
      <c r="E19" s="2" t="str">
        <f t="shared" si="0"/>
        <v/>
      </c>
      <c r="F19" s="18"/>
    </row>
    <row r="20" spans="1:10" x14ac:dyDescent="0.25">
      <c r="A20" s="16"/>
      <c r="B20" s="2"/>
      <c r="C20" s="2"/>
      <c r="D20" s="2"/>
      <c r="E20" s="2" t="str">
        <f t="shared" si="0"/>
        <v/>
      </c>
      <c r="F20" s="18"/>
    </row>
    <row r="21" spans="1:10" x14ac:dyDescent="0.25">
      <c r="A21" s="16"/>
      <c r="B21" s="17"/>
      <c r="C21" s="17"/>
      <c r="D21" s="15" t="s">
        <v>11</v>
      </c>
      <c r="E21" s="2" t="str">
        <f>IF(E6 = "","",SUM(E6:E20))</f>
        <v/>
      </c>
      <c r="F21" s="18"/>
      <c r="J21" t="s">
        <v>15</v>
      </c>
    </row>
    <row r="22" spans="1:10" x14ac:dyDescent="0.25">
      <c r="A22" s="16"/>
      <c r="B22" s="17"/>
      <c r="C22" s="17"/>
      <c r="D22" s="17"/>
      <c r="E22" s="17"/>
      <c r="F22" s="18"/>
    </row>
    <row r="23" spans="1:10" ht="15.75" thickBot="1" x14ac:dyDescent="0.3">
      <c r="A23" s="19"/>
      <c r="B23" s="20"/>
      <c r="C23" s="20"/>
      <c r="D23" s="20"/>
      <c r="E23" s="20"/>
      <c r="F23" s="21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2:I23"/>
  <sheetViews>
    <sheetView showGridLines="0" workbookViewId="0">
      <selection activeCell="E17" sqref="E17"/>
    </sheetView>
  </sheetViews>
  <sheetFormatPr baseColWidth="10" defaultRowHeight="15" x14ac:dyDescent="0.25"/>
  <cols>
    <col min="2" max="2" width="19.28515625" customWidth="1"/>
    <col min="3" max="3" width="17.28515625" customWidth="1"/>
    <col min="4" max="4" width="18.42578125" bestFit="1" customWidth="1"/>
    <col min="5" max="5" width="18.7109375" customWidth="1"/>
    <col min="6" max="6" width="8.28515625" customWidth="1"/>
  </cols>
  <sheetData>
    <row r="2" spans="1:9" x14ac:dyDescent="0.25">
      <c r="A2" s="16"/>
      <c r="B2" s="17"/>
      <c r="C2" s="17"/>
      <c r="D2" s="17"/>
      <c r="E2" s="17"/>
      <c r="F2" s="18"/>
    </row>
    <row r="3" spans="1:9" x14ac:dyDescent="0.25">
      <c r="A3" s="16"/>
      <c r="B3" s="17"/>
      <c r="C3" s="17"/>
      <c r="D3" s="17"/>
      <c r="E3" s="17"/>
      <c r="F3" s="18"/>
    </row>
    <row r="4" spans="1:9" x14ac:dyDescent="0.25">
      <c r="A4" s="16"/>
      <c r="B4" s="17"/>
      <c r="C4" s="17"/>
      <c r="D4" s="17"/>
      <c r="E4" s="17"/>
      <c r="F4" s="18"/>
    </row>
    <row r="5" spans="1:9" x14ac:dyDescent="0.25">
      <c r="A5" s="16"/>
      <c r="B5" s="14" t="s">
        <v>21</v>
      </c>
      <c r="C5" s="14" t="s">
        <v>14</v>
      </c>
      <c r="D5" s="14" t="s">
        <v>25</v>
      </c>
      <c r="E5" s="14" t="s">
        <v>22</v>
      </c>
      <c r="F5" s="18"/>
    </row>
    <row r="6" spans="1:9" x14ac:dyDescent="0.25">
      <c r="A6" s="16"/>
      <c r="B6" s="22"/>
      <c r="C6" s="22"/>
      <c r="D6" s="2"/>
      <c r="E6" s="2" t="str">
        <f t="shared" ref="E6:E20" si="0">IF(C6=0,"",C6*D6)</f>
        <v/>
      </c>
      <c r="F6" s="18"/>
    </row>
    <row r="7" spans="1:9" x14ac:dyDescent="0.25">
      <c r="A7" s="16"/>
      <c r="B7" s="22"/>
      <c r="C7" s="22"/>
      <c r="D7" s="2"/>
      <c r="E7" s="2" t="str">
        <f t="shared" si="0"/>
        <v/>
      </c>
      <c r="F7" s="18"/>
    </row>
    <row r="8" spans="1:9" x14ac:dyDescent="0.25">
      <c r="A8" s="16"/>
      <c r="B8" s="2"/>
      <c r="C8" s="2"/>
      <c r="D8" s="2"/>
      <c r="E8" s="2" t="str">
        <f t="shared" si="0"/>
        <v/>
      </c>
      <c r="F8" s="18"/>
    </row>
    <row r="9" spans="1:9" x14ac:dyDescent="0.25">
      <c r="A9" s="16"/>
      <c r="B9" s="2"/>
      <c r="C9" s="2"/>
      <c r="D9" s="2"/>
      <c r="E9" s="2" t="str">
        <f t="shared" si="0"/>
        <v/>
      </c>
      <c r="F9" s="18"/>
      <c r="I9" t="s">
        <v>15</v>
      </c>
    </row>
    <row r="10" spans="1:9" x14ac:dyDescent="0.25">
      <c r="A10" s="16"/>
      <c r="B10" s="2"/>
      <c r="C10" s="2"/>
      <c r="D10" s="2"/>
      <c r="E10" s="2" t="str">
        <f t="shared" si="0"/>
        <v/>
      </c>
      <c r="F10" s="18"/>
    </row>
    <row r="11" spans="1:9" x14ac:dyDescent="0.25">
      <c r="A11" s="16"/>
      <c r="B11" s="2"/>
      <c r="C11" s="2"/>
      <c r="D11" s="2"/>
      <c r="E11" s="2" t="str">
        <f t="shared" si="0"/>
        <v/>
      </c>
      <c r="F11" s="18"/>
    </row>
    <row r="12" spans="1:9" x14ac:dyDescent="0.25">
      <c r="A12" s="16"/>
      <c r="B12" s="2"/>
      <c r="C12" s="2"/>
      <c r="D12" s="2"/>
      <c r="E12" s="2" t="str">
        <f t="shared" si="0"/>
        <v/>
      </c>
      <c r="F12" s="18"/>
    </row>
    <row r="13" spans="1:9" x14ac:dyDescent="0.25">
      <c r="A13" s="16"/>
      <c r="B13" s="2"/>
      <c r="C13" s="2"/>
      <c r="D13" s="2"/>
      <c r="E13" s="2" t="str">
        <f t="shared" si="0"/>
        <v/>
      </c>
      <c r="F13" s="18"/>
    </row>
    <row r="14" spans="1:9" x14ac:dyDescent="0.25">
      <c r="A14" s="16"/>
      <c r="B14" s="2"/>
      <c r="C14" s="2"/>
      <c r="D14" s="2"/>
      <c r="E14" s="2" t="str">
        <f t="shared" si="0"/>
        <v/>
      </c>
      <c r="F14" s="18"/>
    </row>
    <row r="15" spans="1:9" x14ac:dyDescent="0.25">
      <c r="A15" s="16"/>
      <c r="B15" s="2"/>
      <c r="C15" s="2"/>
      <c r="D15" s="2"/>
      <c r="E15" s="2" t="str">
        <f t="shared" si="0"/>
        <v/>
      </c>
      <c r="F15" s="18"/>
    </row>
    <row r="16" spans="1:9" x14ac:dyDescent="0.25">
      <c r="A16" s="16"/>
      <c r="B16" s="2"/>
      <c r="C16" s="2"/>
      <c r="D16" s="2"/>
      <c r="E16" s="2" t="str">
        <f t="shared" si="0"/>
        <v/>
      </c>
      <c r="F16" s="18"/>
    </row>
    <row r="17" spans="1:6" x14ac:dyDescent="0.25">
      <c r="A17" s="16"/>
      <c r="B17" s="2"/>
      <c r="C17" s="2"/>
      <c r="D17" s="2"/>
      <c r="E17" s="2" t="str">
        <f t="shared" si="0"/>
        <v/>
      </c>
      <c r="F17" s="18"/>
    </row>
    <row r="18" spans="1:6" x14ac:dyDescent="0.25">
      <c r="A18" s="16"/>
      <c r="B18" s="2"/>
      <c r="C18" s="2"/>
      <c r="D18" s="2"/>
      <c r="E18" s="2" t="str">
        <f t="shared" si="0"/>
        <v/>
      </c>
      <c r="F18" s="18"/>
    </row>
    <row r="19" spans="1:6" x14ac:dyDescent="0.25">
      <c r="A19" s="16"/>
      <c r="B19" s="2"/>
      <c r="C19" s="2"/>
      <c r="D19" s="2"/>
      <c r="E19" s="2" t="str">
        <f t="shared" si="0"/>
        <v/>
      </c>
      <c r="F19" s="18"/>
    </row>
    <row r="20" spans="1:6" x14ac:dyDescent="0.25">
      <c r="A20" s="16"/>
      <c r="B20" s="2"/>
      <c r="C20" s="2"/>
      <c r="D20" s="2"/>
      <c r="E20" s="2" t="str">
        <f t="shared" si="0"/>
        <v/>
      </c>
      <c r="F20" s="18"/>
    </row>
    <row r="21" spans="1:6" x14ac:dyDescent="0.25">
      <c r="A21" s="16"/>
      <c r="B21" s="17"/>
      <c r="C21" s="17"/>
      <c r="D21" s="15" t="s">
        <v>11</v>
      </c>
      <c r="E21" s="2" t="str">
        <f>IF(E6 = "","",SUM(E6:E20))</f>
        <v/>
      </c>
      <c r="F21" s="18"/>
    </row>
    <row r="22" spans="1:6" x14ac:dyDescent="0.25">
      <c r="A22" s="16"/>
      <c r="B22" s="17"/>
      <c r="C22" s="17"/>
      <c r="D22" s="17"/>
      <c r="E22" s="17"/>
      <c r="F22" s="18"/>
    </row>
    <row r="23" spans="1:6" ht="15.75" thickBot="1" x14ac:dyDescent="0.3">
      <c r="A23" s="19"/>
      <c r="B23" s="20"/>
      <c r="C23" s="20"/>
      <c r="D23" s="20"/>
      <c r="E23" s="20"/>
      <c r="F23" s="21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showGridLines="0" workbookViewId="0">
      <selection activeCell="G24" sqref="G24"/>
    </sheetView>
  </sheetViews>
  <sheetFormatPr baseColWidth="10" defaultRowHeight="15" x14ac:dyDescent="0.25"/>
  <cols>
    <col min="1" max="16384" width="11.42578125" style="30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AB57"/>
  <sheetViews>
    <sheetView showGridLines="0" workbookViewId="0">
      <selection activeCell="M11" sqref="M11"/>
    </sheetView>
  </sheetViews>
  <sheetFormatPr baseColWidth="10" defaultRowHeight="15" x14ac:dyDescent="0.25"/>
  <cols>
    <col min="1" max="1" width="14.85546875" bestFit="1" customWidth="1"/>
    <col min="2" max="2" width="25" bestFit="1" customWidth="1"/>
    <col min="3" max="3" width="16.42578125" bestFit="1" customWidth="1"/>
  </cols>
  <sheetData>
    <row r="1" spans="1:28" ht="18.75" x14ac:dyDescent="0.3">
      <c r="A1" s="24" t="s">
        <v>23</v>
      </c>
      <c r="B1" s="24" t="s">
        <v>21</v>
      </c>
      <c r="C1" s="24" t="s">
        <v>14</v>
      </c>
      <c r="D1" s="24" t="s">
        <v>24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</row>
    <row r="2" spans="1:28" ht="17.25" customHeight="1" x14ac:dyDescent="0.25">
      <c r="A2" s="25" t="s">
        <v>2</v>
      </c>
      <c r="B2" s="25" t="s">
        <v>2</v>
      </c>
      <c r="C2" s="25">
        <v>5000</v>
      </c>
      <c r="D2" s="26">
        <v>58</v>
      </c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</row>
    <row r="3" spans="1:28" x14ac:dyDescent="0.25">
      <c r="A3" s="26" t="s">
        <v>3</v>
      </c>
      <c r="B3" s="26" t="s">
        <v>3</v>
      </c>
      <c r="C3" s="26">
        <v>1000</v>
      </c>
      <c r="D3" s="26">
        <v>51</v>
      </c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 x14ac:dyDescent="0.25">
      <c r="A4" s="25" t="s">
        <v>4</v>
      </c>
      <c r="B4" s="25" t="s">
        <v>4</v>
      </c>
      <c r="C4" s="25">
        <v>2500</v>
      </c>
      <c r="D4" s="26">
        <v>10</v>
      </c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</row>
    <row r="5" spans="1:28" x14ac:dyDescent="0.25">
      <c r="A5" s="26" t="s">
        <v>5</v>
      </c>
      <c r="B5" s="26" t="s">
        <v>5</v>
      </c>
      <c r="C5" s="26">
        <v>500</v>
      </c>
      <c r="D5" s="26">
        <v>9</v>
      </c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</row>
    <row r="6" spans="1:28" x14ac:dyDescent="0.25">
      <c r="A6" s="62"/>
      <c r="B6" s="62"/>
      <c r="C6" s="62"/>
      <c r="D6" s="63"/>
      <c r="E6" s="62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</row>
    <row r="7" spans="1:28" x14ac:dyDescent="0.25">
      <c r="A7" s="62"/>
      <c r="B7" s="62"/>
      <c r="C7" s="62"/>
      <c r="D7" s="62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</row>
    <row r="8" spans="1:28" x14ac:dyDescent="0.25">
      <c r="A8" s="62"/>
      <c r="B8" s="62"/>
      <c r="C8" s="62"/>
      <c r="D8" s="62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</row>
    <row r="9" spans="1:28" x14ac:dyDescent="0.25">
      <c r="A9" s="62"/>
      <c r="B9" s="62"/>
      <c r="C9" s="62"/>
      <c r="D9" s="62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</row>
    <row r="10" spans="1:28" x14ac:dyDescent="0.25">
      <c r="A10" s="62"/>
      <c r="B10" s="62"/>
      <c r="C10" s="62"/>
      <c r="D10" s="62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</row>
    <row r="11" spans="1:28" x14ac:dyDescent="0.25">
      <c r="A11" s="62"/>
      <c r="B11" s="62"/>
      <c r="C11" s="62"/>
      <c r="D11" s="62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</row>
    <row r="12" spans="1:28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</row>
    <row r="13" spans="1:28" x14ac:dyDescent="0.25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</row>
    <row r="14" spans="1:28" x14ac:dyDescent="0.25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</row>
    <row r="15" spans="1:28" x14ac:dyDescent="0.25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</row>
    <row r="16" spans="1:28" x14ac:dyDescent="0.25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</row>
    <row r="17" spans="1:28" x14ac:dyDescent="0.25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</row>
    <row r="18" spans="1:28" x14ac:dyDescent="0.25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</row>
    <row r="19" spans="1:28" x14ac:dyDescent="0.25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</row>
    <row r="20" spans="1:28" x14ac:dyDescent="0.25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</row>
    <row r="21" spans="1:28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</row>
    <row r="22" spans="1:28" x14ac:dyDescent="0.25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</row>
    <row r="23" spans="1:28" x14ac:dyDescent="0.25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</row>
    <row r="24" spans="1:28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</row>
    <row r="25" spans="1:28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</row>
    <row r="26" spans="1:28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</row>
    <row r="27" spans="1:28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</row>
    <row r="28" spans="1:28" x14ac:dyDescent="0.2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</row>
    <row r="29" spans="1:28" x14ac:dyDescent="0.2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</row>
    <row r="30" spans="1:28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</row>
    <row r="31" spans="1:28" x14ac:dyDescent="0.25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</row>
    <row r="32" spans="1:28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</row>
    <row r="33" spans="1:28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</row>
    <row r="34" spans="1:28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</row>
    <row r="35" spans="1:28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</row>
    <row r="36" spans="1:28" x14ac:dyDescent="0.25"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</row>
    <row r="37" spans="1:28" x14ac:dyDescent="0.25"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</row>
    <row r="38" spans="1:28" x14ac:dyDescent="0.25"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</row>
    <row r="39" spans="1:28" x14ac:dyDescent="0.25"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</row>
    <row r="40" spans="1:28" x14ac:dyDescent="0.25"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</row>
    <row r="41" spans="1:28" x14ac:dyDescent="0.25"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</row>
    <row r="42" spans="1:28" x14ac:dyDescent="0.25"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</row>
    <row r="43" spans="1:28" x14ac:dyDescent="0.25"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</row>
    <row r="44" spans="1:28" x14ac:dyDescent="0.25"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</row>
    <row r="45" spans="1:28" x14ac:dyDescent="0.25"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</row>
    <row r="46" spans="1:28" x14ac:dyDescent="0.25"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</row>
    <row r="47" spans="1:28" x14ac:dyDescent="0.25"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</row>
    <row r="48" spans="1:28" x14ac:dyDescent="0.25"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</row>
    <row r="49" spans="5:28" x14ac:dyDescent="0.25"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</row>
    <row r="50" spans="5:28" x14ac:dyDescent="0.25"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</row>
    <row r="51" spans="5:28" x14ac:dyDescent="0.25"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</row>
    <row r="52" spans="5:28" x14ac:dyDescent="0.25"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</row>
    <row r="53" spans="5:28" x14ac:dyDescent="0.25"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</row>
    <row r="54" spans="5:28" x14ac:dyDescent="0.25"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</row>
    <row r="55" spans="5:28" x14ac:dyDescent="0.25"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</row>
    <row r="56" spans="5:28" x14ac:dyDescent="0.25"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</row>
    <row r="57" spans="5:28" x14ac:dyDescent="0.25"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U32"/>
  <sheetViews>
    <sheetView showGridLines="0" workbookViewId="0">
      <selection activeCell="C1" sqref="C1"/>
    </sheetView>
  </sheetViews>
  <sheetFormatPr baseColWidth="10" defaultRowHeight="15" x14ac:dyDescent="0.25"/>
  <cols>
    <col min="3" max="3" width="16.5703125" customWidth="1"/>
    <col min="5" max="5" width="11.7109375" customWidth="1"/>
  </cols>
  <sheetData>
    <row r="1" spans="2:21" x14ac:dyDescent="0.25">
      <c r="B1" t="s">
        <v>0</v>
      </c>
      <c r="C1" t="s">
        <v>1</v>
      </c>
      <c r="E1" t="s">
        <v>6</v>
      </c>
      <c r="H1" t="s">
        <v>0</v>
      </c>
      <c r="I1" t="s">
        <v>1</v>
      </c>
      <c r="K1" t="s">
        <v>0</v>
      </c>
      <c r="L1" t="s">
        <v>1</v>
      </c>
      <c r="N1" t="s">
        <v>0</v>
      </c>
      <c r="O1" t="s">
        <v>1</v>
      </c>
      <c r="Q1" t="s">
        <v>0</v>
      </c>
      <c r="R1" t="s">
        <v>1</v>
      </c>
      <c r="T1" t="s">
        <v>0</v>
      </c>
      <c r="U1" t="s">
        <v>1</v>
      </c>
    </row>
    <row r="2" spans="2:21" x14ac:dyDescent="0.25">
      <c r="B2" t="s">
        <v>2</v>
      </c>
      <c r="C2">
        <v>5000</v>
      </c>
      <c r="E2" t="s">
        <v>7</v>
      </c>
      <c r="H2" t="s">
        <v>5</v>
      </c>
      <c r="I2">
        <f>IFERROR(VLOOKUP(Tableau3[Produits],Tableau1[],2,FALSE),"")</f>
        <v>500</v>
      </c>
      <c r="L2" t="str">
        <f>IFERROR(VLOOKUP(Tableau317[Produits],Tableau1[],2,FALSE),"")</f>
        <v/>
      </c>
      <c r="O2" t="str">
        <f>IFERROR(VLOOKUP(Tableau318[Produits],Tableau1[],2,FALSE),"")</f>
        <v/>
      </c>
      <c r="R2" t="str">
        <f>IFERROR(VLOOKUP(Tableau319[Produits],Tableau1[],2,FALSE),"")</f>
        <v/>
      </c>
      <c r="U2" t="str">
        <f>IFERROR(VLOOKUP(Tableau320[Produits],Tableau1[],2,FALSE),"")</f>
        <v/>
      </c>
    </row>
    <row r="3" spans="2:21" x14ac:dyDescent="0.25">
      <c r="B3" t="s">
        <v>3</v>
      </c>
      <c r="C3">
        <v>1000</v>
      </c>
      <c r="E3" t="s">
        <v>8</v>
      </c>
    </row>
    <row r="4" spans="2:21" x14ac:dyDescent="0.25">
      <c r="B4" t="s">
        <v>4</v>
      </c>
      <c r="C4">
        <v>2500</v>
      </c>
      <c r="E4" t="s">
        <v>9</v>
      </c>
      <c r="H4" t="s">
        <v>19</v>
      </c>
      <c r="I4" t="s">
        <v>20</v>
      </c>
    </row>
    <row r="5" spans="2:21" x14ac:dyDescent="0.25">
      <c r="B5" t="s">
        <v>5</v>
      </c>
      <c r="C5">
        <v>500</v>
      </c>
      <c r="E5" t="s">
        <v>10</v>
      </c>
      <c r="H5" s="23">
        <v>10</v>
      </c>
      <c r="I5">
        <f>IFERROR(H5*Tableau3[Prix],"")</f>
        <v>5000</v>
      </c>
      <c r="J5">
        <f>IFERROR(VLOOKUP(H5,H5:I5,2,FALSE),"")</f>
        <v>5000</v>
      </c>
    </row>
    <row r="6" spans="2:21" x14ac:dyDescent="0.25">
      <c r="I6" t="str">
        <f>IFERROR(H6*Tableau317[Prix],"")</f>
        <v/>
      </c>
      <c r="J6" t="str">
        <f>IFERROR(VLOOKUP(H6,H6:I6,2,FALSE),"")</f>
        <v/>
      </c>
    </row>
    <row r="7" spans="2:21" x14ac:dyDescent="0.25">
      <c r="B7" s="1" t="s">
        <v>2</v>
      </c>
      <c r="C7" s="2">
        <f>Janvier!J1001+Fevrier!J1000+Mars!J1001+Avril!J1001+Mai!J1001+Juin!J1001+Juillet!J1001+Août!J1001+Septembre!J1001+Octobre!J1001+Décembre!J1001+Novembre!J1001</f>
        <v>535000</v>
      </c>
      <c r="I7" t="str">
        <f>IFERROR(H7*Tableau318[Prix],"")</f>
        <v/>
      </c>
      <c r="J7" t="str">
        <f>IFERROR(VLOOKUP(H7,H7:I7,2,FALSE),"")</f>
        <v/>
      </c>
    </row>
    <row r="8" spans="2:21" x14ac:dyDescent="0.25">
      <c r="B8" s="3" t="s">
        <v>3</v>
      </c>
      <c r="C8" s="2">
        <f>Janvier!I1001+Fevrier!I1000+Mars!I1001+Avril!I1001+Mai!I1001+Juin!I1001+Juillet!I1001+Août!J1001+Septembre!I1001+Octobre!I1001+Novembre!I1001+Décembre!I1001</f>
        <v>19000</v>
      </c>
      <c r="I8" t="str">
        <f>IFERROR(H8*Tableau319[Prix],"")</f>
        <v/>
      </c>
      <c r="J8" t="str">
        <f>IFERROR(VLOOKUP(H8,H8:I8,2,FALSE),"")</f>
        <v/>
      </c>
    </row>
    <row r="9" spans="2:21" x14ac:dyDescent="0.25">
      <c r="B9" s="1" t="s">
        <v>4</v>
      </c>
      <c r="C9" s="2">
        <f>Janvier!K1001+ Fevrier!K1000+Mars!K1001+Avril!K1001+Mai!K1001+Juin!K1001+Juillet!K1001+Août!K1001+Septembre!K1001+Octobre!K1001+Décembre!K1001+Novembre!K1001</f>
        <v>15000</v>
      </c>
      <c r="I9" t="str">
        <f>IFERROR(H9*Tableau320[Prix],"")</f>
        <v/>
      </c>
      <c r="J9" t="str">
        <f>IFERROR(VLOOKUP(H9,H9:I9,2,FALSE),"")</f>
        <v/>
      </c>
    </row>
    <row r="10" spans="2:21" x14ac:dyDescent="0.25">
      <c r="B10" s="3" t="s">
        <v>5</v>
      </c>
      <c r="C10" s="2">
        <f>Janvier!L1001+Fevrier!L1000+Mars!L1001+Avril!L1001+Mai!L1001+Juin!L1001+Juillet!L1001+Août!L1001+Septembre!L1001+Octobre!L1001+Novembre!L1001+Décembre!L1001</f>
        <v>20500</v>
      </c>
      <c r="I10">
        <f>IFERROR(SUM(I5:I9),"")</f>
        <v>5000</v>
      </c>
    </row>
    <row r="13" spans="2:21" x14ac:dyDescent="0.25">
      <c r="B13" s="4" t="s">
        <v>7</v>
      </c>
      <c r="C13" s="2">
        <f>Janvier!M1001+Fevrier!M1000+Mars!M1001+Avril!M1001+Mai!M1001+Juin!M1001+Juillet!M1001+Août!M1001+Septembre!M1001+Octobre!M1001+Novembre!M1001+Décembre!M1001</f>
        <v>426000</v>
      </c>
    </row>
    <row r="14" spans="2:21" x14ac:dyDescent="0.25">
      <c r="B14" s="3" t="s">
        <v>18</v>
      </c>
      <c r="C14" s="2">
        <f>Janvier!N1001+Fevrier!N1000+Mars!N1001+Avril!N1001+Mai!N1001+Juin!N1001+Juillet!N1001+Août!N1001+Septembre!N1001+Octobre!N1001+Novembre!N1001+Décembre!N1001</f>
        <v>0</v>
      </c>
    </row>
    <row r="15" spans="2:21" x14ac:dyDescent="0.25">
      <c r="B15" s="4" t="s">
        <v>9</v>
      </c>
      <c r="C15" s="2">
        <f>Janvier!O1001+Fevrier!O1000+Mars!O1001+Avril!O1001+Mai!O1001+Juin!O1001+Juillet!O1001+Août!O1001+Septembre!O1001+Octobre!O1001+Novembre!O1001+Décembre!O1001</f>
        <v>0</v>
      </c>
    </row>
    <row r="16" spans="2:21" x14ac:dyDescent="0.25">
      <c r="B16" s="3" t="s">
        <v>10</v>
      </c>
      <c r="C16" s="2">
        <f>Janvier!P1001+Fevrier!P1000+Mars!P1001+Avril!P1001+Mai!P1001+Juin!P1001+Juillet!P1001+Août!P1001+Septembre!P1001+Octobre!P1001+Novembre!P1001+Décembre!P1001</f>
        <v>0</v>
      </c>
    </row>
    <row r="19" spans="2:3" x14ac:dyDescent="0.25">
      <c r="B19" s="2" t="s">
        <v>11</v>
      </c>
      <c r="C19" s="2">
        <f>Janvier!H1001+Fevrier!H1000+Mars!H1001+Avril!H1001+Mai!H1001+Juin!H1001+Juillet!H1001+Août!H1001+Septembre!H1001+Octobre!H1001+Novembre!H1001+Décembre!H1001</f>
        <v>589500</v>
      </c>
    </row>
    <row r="21" spans="2:3" ht="15.75" x14ac:dyDescent="0.25">
      <c r="B21" t="s">
        <v>29</v>
      </c>
      <c r="C21" s="13">
        <f>SUM(Janvier!G5:G1000)</f>
        <v>524500</v>
      </c>
    </row>
    <row r="22" spans="2:3" ht="15.75" x14ac:dyDescent="0.25">
      <c r="B22" t="s">
        <v>30</v>
      </c>
      <c r="C22" s="13">
        <f>SUM(Fevrier!G6:G1001)</f>
        <v>65000</v>
      </c>
    </row>
    <row r="23" spans="2:3" ht="15.75" x14ac:dyDescent="0.25">
      <c r="B23" t="s">
        <v>31</v>
      </c>
      <c r="C23" s="13">
        <f>SUM(Mars!G7:G1002)</f>
        <v>0</v>
      </c>
    </row>
    <row r="24" spans="2:3" ht="15.75" x14ac:dyDescent="0.25">
      <c r="B24" t="s">
        <v>32</v>
      </c>
      <c r="C24" s="13">
        <f>SUM(Avril!G8:G1003)</f>
        <v>0</v>
      </c>
    </row>
    <row r="25" spans="2:3" ht="15.75" x14ac:dyDescent="0.25">
      <c r="B25" t="s">
        <v>33</v>
      </c>
      <c r="C25" s="13">
        <f>SUM(Mai!G9:G1004)</f>
        <v>0</v>
      </c>
    </row>
    <row r="26" spans="2:3" ht="15.75" x14ac:dyDescent="0.25">
      <c r="B26" t="s">
        <v>34</v>
      </c>
      <c r="C26" s="13">
        <f>SUM(Juin!G10:G1005)</f>
        <v>0</v>
      </c>
    </row>
    <row r="27" spans="2:3" ht="15.75" x14ac:dyDescent="0.25">
      <c r="B27" t="s">
        <v>35</v>
      </c>
      <c r="C27" s="13">
        <f>SUM(Juillet!G11:G1006)</f>
        <v>0</v>
      </c>
    </row>
    <row r="28" spans="2:3" ht="15.75" x14ac:dyDescent="0.25">
      <c r="B28" t="s">
        <v>36</v>
      </c>
      <c r="C28" s="13">
        <f>SUM(Août!G12:G1007)</f>
        <v>0</v>
      </c>
    </row>
    <row r="29" spans="2:3" ht="15.75" x14ac:dyDescent="0.25">
      <c r="B29" t="s">
        <v>37</v>
      </c>
      <c r="C29" s="13">
        <f>SUM(Septembre!G13:G1008)</f>
        <v>0</v>
      </c>
    </row>
    <row r="30" spans="2:3" ht="15.75" x14ac:dyDescent="0.25">
      <c r="B30" t="s">
        <v>38</v>
      </c>
      <c r="C30" s="13">
        <f>SUM(Octobre!G14:G1009)</f>
        <v>0</v>
      </c>
    </row>
    <row r="31" spans="2:3" ht="15.75" x14ac:dyDescent="0.25">
      <c r="B31" t="s">
        <v>39</v>
      </c>
      <c r="C31" s="13">
        <f>SUM(Novembre!G15:G1010)</f>
        <v>0</v>
      </c>
    </row>
    <row r="32" spans="2:3" ht="15.75" x14ac:dyDescent="0.25">
      <c r="B32" t="s">
        <v>40</v>
      </c>
      <c r="C32" s="13">
        <f>SUM(Décembre!G16:G1011)</f>
        <v>0</v>
      </c>
    </row>
  </sheetData>
  <sheetProtection selectLockedCells="1" selectUnlockedCells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P1001"/>
  <sheetViews>
    <sheetView showGridLines="0" topLeftCell="C1" workbookViewId="0">
      <selection activeCell="G1" sqref="G1"/>
    </sheetView>
  </sheetViews>
  <sheetFormatPr baseColWidth="10" defaultRowHeight="15" x14ac:dyDescent="0.25"/>
  <cols>
    <col min="2" max="2" width="14.28515625" customWidth="1"/>
    <col min="3" max="3" width="14.85546875" customWidth="1"/>
    <col min="4" max="4" width="21.140625" customWidth="1"/>
    <col min="5" max="5" width="17.85546875" style="6" customWidth="1"/>
    <col min="6" max="6" width="14.7109375" customWidth="1"/>
    <col min="7" max="7" width="26" customWidth="1"/>
    <col min="8" max="8" width="16.42578125" style="6" customWidth="1"/>
  </cols>
  <sheetData>
    <row r="1" spans="2:8" x14ac:dyDescent="0.25">
      <c r="H1" s="6" t="s">
        <v>15</v>
      </c>
    </row>
    <row r="3" spans="2:8" ht="30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Tableau20[[#This Row],[Prix Unitaire]]*Tableau20[[#This Row],[Quantité]]</f>
        <v>0</v>
      </c>
    </row>
    <row r="6" spans="2:8" x14ac:dyDescent="0.25">
      <c r="B6" s="27"/>
      <c r="C6" s="28" t="s">
        <v>7</v>
      </c>
      <c r="D6" s="28" t="s">
        <v>2</v>
      </c>
      <c r="E6" s="29">
        <v>5000</v>
      </c>
      <c r="F6" s="28">
        <v>2</v>
      </c>
      <c r="G6" s="28">
        <f>Tableau20[[#This Row],[Prix Unitaire]]*Tableau20[[#This Row],[Quantité]]</f>
        <v>10000</v>
      </c>
    </row>
    <row r="7" spans="2:8" x14ac:dyDescent="0.25">
      <c r="B7" s="27"/>
      <c r="C7" s="28" t="s">
        <v>7</v>
      </c>
      <c r="D7" s="28" t="s">
        <v>2</v>
      </c>
      <c r="E7" s="29">
        <v>5000</v>
      </c>
      <c r="F7" s="28">
        <v>2</v>
      </c>
      <c r="G7" s="33">
        <f>Tableau20[[#This Row],[Prix Unitaire]]*Tableau20[[#This Row],[Quantité]]</f>
        <v>10000</v>
      </c>
    </row>
    <row r="8" spans="2:8" x14ac:dyDescent="0.25">
      <c r="B8" s="27"/>
      <c r="C8" s="28"/>
      <c r="D8" s="28" t="s">
        <v>4</v>
      </c>
      <c r="E8" s="29">
        <v>2500</v>
      </c>
      <c r="F8" s="28">
        <v>4</v>
      </c>
      <c r="G8" s="33">
        <f>Tableau20[[#This Row],[Prix Unitaire]]*Tableau20[[#This Row],[Quantité]]</f>
        <v>10000</v>
      </c>
    </row>
    <row r="9" spans="2:8" x14ac:dyDescent="0.25">
      <c r="B9" s="27"/>
      <c r="C9" s="28" t="s">
        <v>8</v>
      </c>
      <c r="D9" s="28" t="s">
        <v>2</v>
      </c>
      <c r="E9" s="29">
        <v>5000</v>
      </c>
      <c r="F9" s="28">
        <v>5</v>
      </c>
      <c r="G9" s="33">
        <f>Tableau20[[#This Row],[Prix Unitaire]]*Tableau20[[#This Row],[Quantité]]</f>
        <v>25000</v>
      </c>
    </row>
    <row r="10" spans="2:8" x14ac:dyDescent="0.25">
      <c r="B10" s="27"/>
      <c r="C10" s="28" t="s">
        <v>7</v>
      </c>
      <c r="D10" s="28" t="s">
        <v>3</v>
      </c>
      <c r="E10" s="29">
        <v>1000</v>
      </c>
      <c r="F10" s="28">
        <v>5</v>
      </c>
      <c r="G10" s="33">
        <f>Tableau20[[#This Row],[Prix Unitaire]]*Tableau20[[#This Row],[Quantité]]</f>
        <v>5000</v>
      </c>
    </row>
    <row r="11" spans="2:8" x14ac:dyDescent="0.25">
      <c r="B11" s="27"/>
      <c r="C11" s="28" t="s">
        <v>7</v>
      </c>
      <c r="D11" s="28" t="s">
        <v>2</v>
      </c>
      <c r="E11" s="29">
        <v>5000</v>
      </c>
      <c r="F11" s="28">
        <v>5</v>
      </c>
      <c r="G11" s="33">
        <f>Tableau20[[#This Row],[Prix Unitaire]]*Tableau20[[#This Row],[Quantité]]</f>
        <v>25000</v>
      </c>
    </row>
    <row r="12" spans="2:8" x14ac:dyDescent="0.25">
      <c r="B12" s="27"/>
      <c r="C12" s="28" t="s">
        <v>7</v>
      </c>
      <c r="D12" s="28" t="s">
        <v>2</v>
      </c>
      <c r="E12" s="29">
        <v>5000</v>
      </c>
      <c r="F12" s="28">
        <v>5</v>
      </c>
      <c r="G12" s="33">
        <f>Tableau20[[#This Row],[Prix Unitaire]]*Tableau20[[#This Row],[Quantité]]</f>
        <v>25000</v>
      </c>
    </row>
    <row r="13" spans="2:8" x14ac:dyDescent="0.25">
      <c r="B13" s="27"/>
      <c r="C13" s="28" t="s">
        <v>8</v>
      </c>
      <c r="D13" s="28" t="s">
        <v>2</v>
      </c>
      <c r="E13" s="29">
        <v>5000</v>
      </c>
      <c r="F13" s="28">
        <v>5</v>
      </c>
      <c r="G13" s="33">
        <f>Tableau20[[#This Row],[Prix Unitaire]]*Tableau20[[#This Row],[Quantité]]</f>
        <v>25000</v>
      </c>
    </row>
    <row r="14" spans="2:8" x14ac:dyDescent="0.25">
      <c r="B14" s="27"/>
      <c r="C14" s="28" t="s">
        <v>7</v>
      </c>
      <c r="D14" s="28" t="s">
        <v>2</v>
      </c>
      <c r="E14" s="29">
        <v>5000</v>
      </c>
      <c r="F14" s="28">
        <v>5</v>
      </c>
      <c r="G14" s="33">
        <f>Tableau20[[#This Row],[Prix Unitaire]]*Tableau20[[#This Row],[Quantité]]</f>
        <v>25000</v>
      </c>
    </row>
    <row r="15" spans="2:8" x14ac:dyDescent="0.25">
      <c r="B15" s="27"/>
      <c r="C15" s="28" t="s">
        <v>7</v>
      </c>
      <c r="D15" s="28" t="s">
        <v>2</v>
      </c>
      <c r="E15" s="29">
        <v>5000</v>
      </c>
      <c r="F15" s="28">
        <v>5</v>
      </c>
      <c r="G15" s="33">
        <f>Tableau20[[#This Row],[Prix Unitaire]]*Tableau20[[#This Row],[Quantité]]</f>
        <v>25000</v>
      </c>
    </row>
    <row r="16" spans="2:8" x14ac:dyDescent="0.25">
      <c r="B16" s="27"/>
      <c r="C16" s="28" t="s">
        <v>8</v>
      </c>
      <c r="D16" s="28" t="s">
        <v>2</v>
      </c>
      <c r="E16" s="29">
        <v>5000</v>
      </c>
      <c r="F16" s="28">
        <v>11</v>
      </c>
      <c r="G16" s="33">
        <f>Tableau20[[#This Row],[Prix Unitaire]]*Tableau20[[#This Row],[Quantité]]</f>
        <v>55000</v>
      </c>
    </row>
    <row r="17" spans="2:7" x14ac:dyDescent="0.25">
      <c r="B17" s="27"/>
      <c r="C17" s="28" t="s">
        <v>8</v>
      </c>
      <c r="D17" s="28" t="s">
        <v>2</v>
      </c>
      <c r="E17" s="29">
        <v>5000</v>
      </c>
      <c r="F17" s="28">
        <v>2</v>
      </c>
      <c r="G17" s="33">
        <f>Tableau20[[#This Row],[Prix Unitaire]]*Tableau20[[#This Row],[Quantité]]</f>
        <v>10000</v>
      </c>
    </row>
    <row r="18" spans="2:7" x14ac:dyDescent="0.25">
      <c r="B18" s="27"/>
      <c r="C18" s="28" t="s">
        <v>7</v>
      </c>
      <c r="D18" s="28" t="s">
        <v>5</v>
      </c>
      <c r="E18" s="29">
        <v>500</v>
      </c>
      <c r="F18" s="28">
        <v>12</v>
      </c>
      <c r="G18" s="33">
        <f>Tableau20[[#This Row],[Prix Unitaire]]*Tableau20[[#This Row],[Quantité]]</f>
        <v>6000</v>
      </c>
    </row>
    <row r="19" spans="2:7" x14ac:dyDescent="0.25">
      <c r="B19" s="27"/>
      <c r="C19" s="28" t="s">
        <v>7</v>
      </c>
      <c r="D19" s="28" t="s">
        <v>2</v>
      </c>
      <c r="E19" s="29">
        <v>5000</v>
      </c>
      <c r="F19" s="28">
        <v>2</v>
      </c>
      <c r="G19" s="33">
        <f>Tableau20[[#This Row],[Prix Unitaire]]*Tableau20[[#This Row],[Quantité]]</f>
        <v>10000</v>
      </c>
    </row>
    <row r="20" spans="2:7" x14ac:dyDescent="0.25">
      <c r="B20" s="27"/>
      <c r="C20" s="28" t="s">
        <v>7</v>
      </c>
      <c r="D20" s="28" t="s">
        <v>2</v>
      </c>
      <c r="E20" s="29">
        <v>5000</v>
      </c>
      <c r="F20" s="28">
        <v>2</v>
      </c>
      <c r="G20" s="33">
        <f>Tableau20[[#This Row],[Prix Unitaire]]*Tableau20[[#This Row],[Quantité]]</f>
        <v>10000</v>
      </c>
    </row>
    <row r="21" spans="2:7" x14ac:dyDescent="0.25">
      <c r="B21" s="27"/>
      <c r="C21" s="28" t="s">
        <v>7</v>
      </c>
      <c r="D21" s="28" t="s">
        <v>2</v>
      </c>
      <c r="E21" s="29">
        <v>5000</v>
      </c>
      <c r="F21" s="28">
        <v>3</v>
      </c>
      <c r="G21" s="33">
        <f>Tableau20[[#This Row],[Prix Unitaire]]*Tableau20[[#This Row],[Quantité]]</f>
        <v>15000</v>
      </c>
    </row>
    <row r="22" spans="2:7" x14ac:dyDescent="0.25">
      <c r="B22" s="27"/>
      <c r="C22" s="28" t="s">
        <v>7</v>
      </c>
      <c r="D22" s="28" t="s">
        <v>5</v>
      </c>
      <c r="E22" s="29">
        <v>500</v>
      </c>
      <c r="F22" s="28">
        <v>10</v>
      </c>
      <c r="G22" s="33">
        <f>Tableau20[[#This Row],[Prix Unitaire]]*Tableau20[[#This Row],[Quantité]]</f>
        <v>5000</v>
      </c>
    </row>
    <row r="23" spans="2:7" x14ac:dyDescent="0.25">
      <c r="B23" s="27"/>
      <c r="C23" s="28" t="s">
        <v>7</v>
      </c>
      <c r="D23" s="28" t="s">
        <v>2</v>
      </c>
      <c r="E23" s="29">
        <v>5000</v>
      </c>
      <c r="F23" s="28">
        <v>4</v>
      </c>
      <c r="G23" s="33">
        <f>Tableau20[[#This Row],[Prix Unitaire]]*Tableau20[[#This Row],[Quantité]]</f>
        <v>20000</v>
      </c>
    </row>
    <row r="24" spans="2:7" x14ac:dyDescent="0.25">
      <c r="B24" s="27"/>
      <c r="C24" s="28" t="s">
        <v>7</v>
      </c>
      <c r="D24" s="28" t="s">
        <v>5</v>
      </c>
      <c r="E24" s="29">
        <v>500</v>
      </c>
      <c r="F24" s="28">
        <v>5</v>
      </c>
      <c r="G24" s="33">
        <f>Tableau20[[#This Row],[Prix Unitaire]]*Tableau20[[#This Row],[Quantité]]</f>
        <v>2500</v>
      </c>
    </row>
    <row r="25" spans="2:7" x14ac:dyDescent="0.25">
      <c r="B25" s="27"/>
      <c r="C25" s="28" t="s">
        <v>7</v>
      </c>
      <c r="D25" s="28" t="s">
        <v>3</v>
      </c>
      <c r="E25" s="29">
        <v>1000</v>
      </c>
      <c r="F25" s="28">
        <v>4</v>
      </c>
      <c r="G25" s="33">
        <f>Tableau20[[#This Row],[Prix Unitaire]]*Tableau20[[#This Row],[Quantité]]</f>
        <v>4000</v>
      </c>
    </row>
    <row r="26" spans="2:7" x14ac:dyDescent="0.25">
      <c r="B26" s="27"/>
      <c r="C26" s="28" t="s">
        <v>7</v>
      </c>
      <c r="D26" s="28" t="s">
        <v>5</v>
      </c>
      <c r="E26" s="29">
        <v>500</v>
      </c>
      <c r="F26" s="28">
        <v>3</v>
      </c>
      <c r="G26" s="33">
        <f>Tableau20[[#This Row],[Prix Unitaire]]*Tableau20[[#This Row],[Quantité]]</f>
        <v>1500</v>
      </c>
    </row>
    <row r="27" spans="2:7" x14ac:dyDescent="0.25">
      <c r="B27" s="27"/>
      <c r="C27" s="28" t="s">
        <v>7</v>
      </c>
      <c r="D27" s="28" t="s">
        <v>2</v>
      </c>
      <c r="E27" s="29">
        <v>5000</v>
      </c>
      <c r="F27" s="28">
        <v>2</v>
      </c>
      <c r="G27" s="33">
        <f>Tableau20[[#This Row],[Prix Unitaire]]*Tableau20[[#This Row],[Quantité]]</f>
        <v>10000</v>
      </c>
    </row>
    <row r="28" spans="2:7" x14ac:dyDescent="0.25">
      <c r="B28" s="27"/>
      <c r="C28" s="28" t="s">
        <v>7</v>
      </c>
      <c r="D28" s="28" t="s">
        <v>2</v>
      </c>
      <c r="E28" s="29">
        <v>5000</v>
      </c>
      <c r="F28" s="28">
        <v>3</v>
      </c>
      <c r="G28" s="33">
        <f>Tableau20[[#This Row],[Prix Unitaire]]*Tableau20[[#This Row],[Quantité]]</f>
        <v>15000</v>
      </c>
    </row>
    <row r="29" spans="2:7" x14ac:dyDescent="0.25">
      <c r="B29" s="27"/>
      <c r="C29" s="28" t="s">
        <v>7</v>
      </c>
      <c r="D29" s="28" t="s">
        <v>5</v>
      </c>
      <c r="E29" s="29">
        <v>500</v>
      </c>
      <c r="F29" s="28">
        <v>7</v>
      </c>
      <c r="G29" s="33">
        <f>Tableau20[[#This Row],[Prix Unitaire]]*Tableau20[[#This Row],[Quantité]]</f>
        <v>3500</v>
      </c>
    </row>
    <row r="30" spans="2:7" x14ac:dyDescent="0.25">
      <c r="B30" s="27"/>
      <c r="C30" s="28" t="s">
        <v>7</v>
      </c>
      <c r="D30" s="28" t="s">
        <v>2</v>
      </c>
      <c r="E30" s="29">
        <v>5000</v>
      </c>
      <c r="F30" s="28">
        <v>3</v>
      </c>
      <c r="G30" s="33">
        <f>Tableau20[[#This Row],[Prix Unitaire]]*Tableau20[[#This Row],[Quantité]]</f>
        <v>15000</v>
      </c>
    </row>
    <row r="31" spans="2:7" x14ac:dyDescent="0.25">
      <c r="B31" s="27"/>
      <c r="C31" s="28" t="s">
        <v>7</v>
      </c>
      <c r="D31" s="28" t="s">
        <v>5</v>
      </c>
      <c r="E31" s="29">
        <v>500</v>
      </c>
      <c r="F31" s="28">
        <v>3</v>
      </c>
      <c r="G31" s="33">
        <f>Tableau20[[#This Row],[Prix Unitaire]]*Tableau20[[#This Row],[Quantité]]</f>
        <v>1500</v>
      </c>
    </row>
    <row r="32" spans="2:7" x14ac:dyDescent="0.25">
      <c r="B32" s="27"/>
      <c r="C32" s="28" t="s">
        <v>7</v>
      </c>
      <c r="D32" s="28" t="s">
        <v>2</v>
      </c>
      <c r="E32" s="29">
        <v>5000</v>
      </c>
      <c r="F32" s="28">
        <v>4</v>
      </c>
      <c r="G32" s="33">
        <f>Tableau20[[#This Row],[Prix Unitaire]]*Tableau20[[#This Row],[Quantité]]</f>
        <v>20000</v>
      </c>
    </row>
    <row r="33" spans="2:7" x14ac:dyDescent="0.25">
      <c r="B33" s="27"/>
      <c r="C33" s="28" t="s">
        <v>7</v>
      </c>
      <c r="D33" s="28" t="s">
        <v>2</v>
      </c>
      <c r="E33" s="29">
        <v>5000</v>
      </c>
      <c r="F33" s="28">
        <v>3</v>
      </c>
      <c r="G33" s="33">
        <f>Tableau20[[#This Row],[Prix Unitaire]]*Tableau20[[#This Row],[Quantité]]</f>
        <v>15000</v>
      </c>
    </row>
    <row r="34" spans="2:7" x14ac:dyDescent="0.25">
      <c r="B34" s="27"/>
      <c r="C34" s="28" t="s">
        <v>7</v>
      </c>
      <c r="D34" s="28" t="s">
        <v>2</v>
      </c>
      <c r="E34" s="29">
        <v>5000</v>
      </c>
      <c r="F34" s="28">
        <v>5</v>
      </c>
      <c r="G34" s="33">
        <f>Tableau20[[#This Row],[Prix Unitaire]]*Tableau20[[#This Row],[Quantité]]</f>
        <v>25000</v>
      </c>
    </row>
    <row r="35" spans="2:7" x14ac:dyDescent="0.25">
      <c r="B35" s="27"/>
      <c r="C35" s="28"/>
      <c r="D35" s="28" t="s">
        <v>4</v>
      </c>
      <c r="E35" s="29">
        <v>2500</v>
      </c>
      <c r="F35" s="28">
        <v>2</v>
      </c>
      <c r="G35" s="33">
        <f>Tableau20[[#This Row],[Prix Unitaire]]*Tableau20[[#This Row],[Quantité]]</f>
        <v>5000</v>
      </c>
    </row>
    <row r="36" spans="2:7" x14ac:dyDescent="0.25">
      <c r="B36" s="27"/>
      <c r="C36" s="28"/>
      <c r="D36" s="28" t="s">
        <v>3</v>
      </c>
      <c r="E36" s="29">
        <v>1000</v>
      </c>
      <c r="F36" s="28">
        <v>6</v>
      </c>
      <c r="G36" s="33">
        <f>Tableau20[[#This Row],[Prix Unitaire]]*Tableau20[[#This Row],[Quantité]]</f>
        <v>6000</v>
      </c>
    </row>
    <row r="37" spans="2:7" x14ac:dyDescent="0.25">
      <c r="B37" s="27"/>
      <c r="C37" s="28"/>
      <c r="D37" s="28" t="s">
        <v>5</v>
      </c>
      <c r="E37" s="29">
        <v>500</v>
      </c>
      <c r="F37" s="28">
        <v>1</v>
      </c>
      <c r="G37" s="33">
        <f>Tableau20[[#This Row],[Prix Unitaire]]*Tableau20[[#This Row],[Quantité]]</f>
        <v>500</v>
      </c>
    </row>
    <row r="38" spans="2:7" x14ac:dyDescent="0.25">
      <c r="B38" s="27"/>
      <c r="C38" s="28"/>
      <c r="D38" s="28" t="s">
        <v>2</v>
      </c>
      <c r="E38" s="29">
        <v>5000</v>
      </c>
      <c r="F38" s="28">
        <v>3</v>
      </c>
      <c r="G38" s="33">
        <f>Tableau20[[#This Row],[Prix Unitaire]]*Tableau20[[#This Row],[Quantité]]</f>
        <v>15000</v>
      </c>
    </row>
    <row r="39" spans="2:7" x14ac:dyDescent="0.25">
      <c r="B39" s="27"/>
      <c r="C39" s="28" t="s">
        <v>7</v>
      </c>
      <c r="D39" s="28" t="s">
        <v>2</v>
      </c>
      <c r="E39" s="29">
        <v>5000</v>
      </c>
      <c r="F39" s="28">
        <v>3</v>
      </c>
      <c r="G39" s="33">
        <f>Tableau20[[#This Row],[Prix Unitaire]]*Tableau20[[#This Row],[Quantité]]</f>
        <v>15000</v>
      </c>
    </row>
    <row r="40" spans="2:7" x14ac:dyDescent="0.25">
      <c r="B40" s="27"/>
      <c r="C40" s="28"/>
      <c r="D40" s="28" t="s">
        <v>3</v>
      </c>
      <c r="E40" s="29">
        <v>1000</v>
      </c>
      <c r="F40" s="28">
        <v>2</v>
      </c>
      <c r="G40" s="33">
        <f>Tableau20[[#This Row],[Prix Unitaire]]*Tableau20[[#This Row],[Quantité]]</f>
        <v>2000</v>
      </c>
    </row>
    <row r="41" spans="2:7" x14ac:dyDescent="0.25">
      <c r="B41" s="27"/>
      <c r="C41" s="28" t="s">
        <v>7</v>
      </c>
      <c r="D41" s="28" t="s">
        <v>3</v>
      </c>
      <c r="E41" s="29">
        <v>1000</v>
      </c>
      <c r="F41" s="28">
        <v>2</v>
      </c>
      <c r="G41" s="33">
        <f>Tableau20[[#This Row],[Prix Unitaire]]*Tableau20[[#This Row],[Quantité]]</f>
        <v>2000</v>
      </c>
    </row>
    <row r="42" spans="2:7" x14ac:dyDescent="0.25">
      <c r="B42" s="27"/>
      <c r="C42" s="28"/>
      <c r="D42" s="28" t="s">
        <v>2</v>
      </c>
      <c r="E42" s="29">
        <v>5000</v>
      </c>
      <c r="F42" s="28">
        <v>2</v>
      </c>
      <c r="G42" s="33">
        <f>Tableau20[[#This Row],[Prix Unitaire]]*Tableau20[[#This Row],[Quantité]]</f>
        <v>10000</v>
      </c>
    </row>
    <row r="43" spans="2:7" x14ac:dyDescent="0.25">
      <c r="B43" s="27"/>
      <c r="C43" s="28" t="s">
        <v>7</v>
      </c>
      <c r="D43" s="28" t="s">
        <v>2</v>
      </c>
      <c r="E43" s="29">
        <v>5000</v>
      </c>
      <c r="F43" s="28">
        <v>3</v>
      </c>
      <c r="G43" s="33">
        <f>Tableau20[[#This Row],[Prix Unitaire]]*Tableau20[[#This Row],[Quantité]]</f>
        <v>15000</v>
      </c>
    </row>
    <row r="44" spans="2:7" x14ac:dyDescent="0.25">
      <c r="B44" s="27"/>
      <c r="C44" s="28" t="s">
        <v>7</v>
      </c>
      <c r="D44" s="28" t="s">
        <v>2</v>
      </c>
      <c r="E44" s="29">
        <v>5000</v>
      </c>
      <c r="F44" s="28">
        <v>3</v>
      </c>
      <c r="G44" s="33">
        <f>Tableau20[[#This Row],[Prix Unitaire]]*Tableau20[[#This Row],[Quantité]]</f>
        <v>15000</v>
      </c>
    </row>
    <row r="45" spans="2:7" x14ac:dyDescent="0.25">
      <c r="B45" s="27"/>
      <c r="C45" s="28" t="s">
        <v>7</v>
      </c>
      <c r="D45" s="28" t="s">
        <v>2</v>
      </c>
      <c r="E45" s="29">
        <v>5000</v>
      </c>
      <c r="F45" s="28">
        <v>2</v>
      </c>
      <c r="G45" s="33">
        <f>Tableau20[[#This Row],[Prix Unitaire]]*Tableau20[[#This Row],[Quantité]]</f>
        <v>10000</v>
      </c>
    </row>
    <row r="46" spans="2:7" x14ac:dyDescent="0.25">
      <c r="B46" s="8"/>
    </row>
    <row r="47" spans="2:7" x14ac:dyDescent="0.25">
      <c r="B47" s="8"/>
    </row>
    <row r="48" spans="2:7" x14ac:dyDescent="0.25">
      <c r="B48" s="8"/>
    </row>
    <row r="49" spans="2:2" x14ac:dyDescent="0.25">
      <c r="B49" s="8"/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524500</v>
      </c>
      <c r="I1001">
        <f>SUMIF(D5:D1000,"Yaourt",G5:G1000)</f>
        <v>19000</v>
      </c>
      <c r="J1001">
        <f>SUMIF(D5:D1000,"Vin",G5:G1000)</f>
        <v>470000</v>
      </c>
      <c r="K1001">
        <f>SUMIF(D5:D1000,"Crème",G5:G1000)</f>
        <v>15000</v>
      </c>
      <c r="L1001">
        <f>SUMIF(D5:D1000,"Chocola",G5:G1000)</f>
        <v>20500</v>
      </c>
      <c r="M1001">
        <f>SUMIF(C5:C1000,"Rethis",G5:G1000)</f>
        <v>361000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3:P1000"/>
  <sheetViews>
    <sheetView showGridLines="0" workbookViewId="0">
      <selection activeCell="G7" sqref="G7"/>
    </sheetView>
  </sheetViews>
  <sheetFormatPr baseColWidth="10" defaultRowHeight="15" x14ac:dyDescent="0.25"/>
  <cols>
    <col min="2" max="2" width="16.7109375" customWidth="1"/>
    <col min="3" max="3" width="14.5703125" customWidth="1"/>
    <col min="4" max="4" width="21" customWidth="1"/>
    <col min="5" max="5" width="17.5703125" style="6" customWidth="1"/>
    <col min="6" max="6" width="14" style="12" customWidth="1"/>
    <col min="7" max="7" width="28.42578125" customWidth="1"/>
    <col min="8" max="8" width="16.28515625" style="6" customWidth="1"/>
  </cols>
  <sheetData>
    <row r="3" spans="2:8" ht="34.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Tableau2022[[#This Row],[Prix Unitaire]]*Tableau2022[[#This Row],[Quantité]]</f>
        <v>0</v>
      </c>
    </row>
    <row r="6" spans="2:8" x14ac:dyDescent="0.25">
      <c r="B6" s="27"/>
      <c r="C6" s="28" t="s">
        <v>7</v>
      </c>
      <c r="D6" s="28" t="s">
        <v>2</v>
      </c>
      <c r="E6" s="29">
        <v>5000</v>
      </c>
      <c r="F6" s="55">
        <v>11</v>
      </c>
      <c r="G6" s="28">
        <f>Tableau2022[[#This Row],[Prix Unitaire]]*Tableau2022[[#This Row],[Quantité]]</f>
        <v>55000</v>
      </c>
    </row>
    <row r="7" spans="2:8" x14ac:dyDescent="0.25">
      <c r="B7" s="27"/>
      <c r="C7" s="28" t="s">
        <v>7</v>
      </c>
      <c r="D7" s="28" t="s">
        <v>2</v>
      </c>
      <c r="E7" s="29">
        <v>5000</v>
      </c>
      <c r="F7" s="55">
        <v>2</v>
      </c>
      <c r="G7" s="28">
        <f>Tableau2022[[#This Row],[Prix Unitaire]]*Tableau2022[[#This Row],[Quantité]]</f>
        <v>10000</v>
      </c>
    </row>
    <row r="17" spans="2:2" x14ac:dyDescent="0.25">
      <c r="B17" s="8"/>
    </row>
    <row r="18" spans="2:2" x14ac:dyDescent="0.25">
      <c r="B18" s="8"/>
    </row>
    <row r="999" spans="8:16" x14ac:dyDescent="0.25">
      <c r="I999" t="s">
        <v>17</v>
      </c>
      <c r="J999" t="s">
        <v>2</v>
      </c>
      <c r="K999" t="s">
        <v>4</v>
      </c>
      <c r="L999" t="s">
        <v>5</v>
      </c>
      <c r="M999" t="s">
        <v>7</v>
      </c>
      <c r="N999" t="s">
        <v>18</v>
      </c>
      <c r="O999" t="s">
        <v>9</v>
      </c>
      <c r="P999" t="s">
        <v>10</v>
      </c>
    </row>
    <row r="1000" spans="8:16" ht="15.75" x14ac:dyDescent="0.25">
      <c r="H1000" s="13">
        <f>SUM(G4:G999)</f>
        <v>65000</v>
      </c>
      <c r="I1000">
        <f>SUMIF(D4:D999,"Yaourt",G4:G999)</f>
        <v>0</v>
      </c>
      <c r="J1000">
        <f>SUMIF(D4:D999,"Vin",G4:G999)</f>
        <v>65000</v>
      </c>
      <c r="K1000">
        <f>SUMIF(D4:D999,"Crème",G4:G999)</f>
        <v>0</v>
      </c>
      <c r="L1000">
        <f>SUMIF(D4:D999,"Chocola",G4:G999)</f>
        <v>0</v>
      </c>
      <c r="M1000">
        <f>SUMIF(C4:C999,"Rethis",G4:G999)</f>
        <v>65000</v>
      </c>
      <c r="N1000">
        <f>SUMIF(C4:C999,"Pona",G4:G999)</f>
        <v>0</v>
      </c>
      <c r="O1000">
        <f>SUMIF(C4:C999,"Marlyne",G4:G999)</f>
        <v>0</v>
      </c>
      <c r="P1000">
        <f>SUMIF(C4:C999,"Sandra",G4:G999)</f>
        <v>0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3:P1001"/>
  <sheetViews>
    <sheetView showGridLines="0" topLeftCell="A978" workbookViewId="0">
      <selection activeCell="H1001" sqref="H1001"/>
    </sheetView>
  </sheetViews>
  <sheetFormatPr baseColWidth="10" defaultRowHeight="15" x14ac:dyDescent="0.25"/>
  <cols>
    <col min="2" max="2" width="11.42578125" style="8"/>
    <col min="3" max="3" width="15" customWidth="1"/>
    <col min="4" max="4" width="22.140625" customWidth="1"/>
    <col min="5" max="5" width="17.28515625" style="6" customWidth="1"/>
    <col min="6" max="6" width="13.5703125" customWidth="1"/>
    <col min="7" max="7" width="27.5703125" customWidth="1"/>
    <col min="8" max="8" width="19.140625" style="6" customWidth="1"/>
  </cols>
  <sheetData>
    <row r="3" spans="2:8" ht="28.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Tableau2023[Prix Unitaire]*Tableau2023[Quantité]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7" customWidth="1"/>
    <col min="3" max="3" width="13.85546875" customWidth="1"/>
    <col min="4" max="4" width="20.7109375" customWidth="1"/>
    <col min="5" max="5" width="17.140625" customWidth="1"/>
    <col min="6" max="6" width="13.28515625" customWidth="1"/>
    <col min="7" max="7" width="28.7109375" customWidth="1"/>
    <col min="8" max="8" width="15.42578125" style="6" customWidth="1"/>
  </cols>
  <sheetData>
    <row r="3" spans="2:8" ht="29.2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Tableau2024[Prix Unitaire]*Tableau2024[Quantité]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P1001"/>
  <sheetViews>
    <sheetView showGridLines="0" workbookViewId="0">
      <selection activeCell="G6" sqref="G6"/>
    </sheetView>
  </sheetViews>
  <sheetFormatPr baseColWidth="10" defaultRowHeight="18.75" x14ac:dyDescent="0.3"/>
  <cols>
    <col min="2" max="2" width="14.5703125" customWidth="1"/>
    <col min="3" max="3" width="14.7109375" customWidth="1"/>
    <col min="4" max="4" width="20.28515625" customWidth="1"/>
    <col min="5" max="5" width="17" style="6" customWidth="1"/>
    <col min="6" max="6" width="13.5703125" customWidth="1"/>
    <col min="7" max="7" width="29.7109375" customWidth="1"/>
    <col min="8" max="8" width="14.140625" style="10" customWidth="1"/>
  </cols>
  <sheetData>
    <row r="2" spans="2:8" ht="14.25" customHeight="1" x14ac:dyDescent="0.3"/>
    <row r="3" spans="2:8" ht="22.5" customHeight="1" x14ac:dyDescent="0.3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11"/>
    </row>
    <row r="5" spans="2:8" ht="14.25" customHeight="1" x14ac:dyDescent="0.3">
      <c r="B5" s="27"/>
      <c r="C5" s="28"/>
      <c r="D5" s="28"/>
      <c r="E5" s="29"/>
      <c r="F5" s="28"/>
      <c r="G5" s="28">
        <f>Tableau2025[Prix Unitaire]*Tableau2025[Quantité]</f>
        <v>0</v>
      </c>
    </row>
    <row r="1000" spans="8:16" ht="15" x14ac:dyDescent="0.25">
      <c r="H1000" s="6"/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6.85546875" customWidth="1"/>
    <col min="3" max="3" width="15.42578125" customWidth="1"/>
    <col min="4" max="4" width="23" customWidth="1"/>
    <col min="5" max="5" width="16.85546875" style="6" customWidth="1"/>
    <col min="6" max="6" width="13.7109375" customWidth="1"/>
    <col min="7" max="7" width="26.42578125" customWidth="1"/>
    <col min="8" max="8" width="14.140625" style="6" customWidth="1"/>
  </cols>
  <sheetData>
    <row r="3" spans="2:8" ht="30.7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</row>
    <row r="5" spans="2:8" x14ac:dyDescent="0.25">
      <c r="B5" s="27"/>
      <c r="C5" s="28"/>
      <c r="D5" s="28"/>
      <c r="E5" s="29"/>
      <c r="F5" s="28"/>
      <c r="G5" s="28">
        <f>Tableau2026[Prix Unitaire]*Tableau2026[Quantité]</f>
        <v>0</v>
      </c>
      <c r="H5" s="7"/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7.5703125" customWidth="1"/>
    <col min="3" max="3" width="15" customWidth="1"/>
    <col min="4" max="4" width="22.140625" customWidth="1"/>
    <col min="5" max="5" width="17" customWidth="1"/>
    <col min="6" max="6" width="13.7109375" customWidth="1"/>
    <col min="7" max="7" width="26" customWidth="1"/>
    <col min="8" max="8" width="18.140625" style="6" customWidth="1"/>
  </cols>
  <sheetData>
    <row r="3" spans="2:8" ht="30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Tableau2027[Prix Unitaire]*Tableau2027[Quantité]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8.5703125" customWidth="1"/>
    <col min="3" max="3" width="15.140625" customWidth="1"/>
    <col min="4" max="4" width="21.7109375" customWidth="1"/>
    <col min="5" max="5" width="16.28515625" style="6" customWidth="1"/>
    <col min="6" max="6" width="14" customWidth="1"/>
    <col min="7" max="7" width="25.42578125" customWidth="1"/>
    <col min="8" max="8" width="15.28515625" style="6" bestFit="1" customWidth="1"/>
  </cols>
  <sheetData>
    <row r="3" spans="2:8" ht="30.7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Tableau2028[Prix Unitaire]*Tableau2028[Quantité]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5.7109375" customWidth="1"/>
    <col min="3" max="3" width="14.7109375" customWidth="1"/>
    <col min="4" max="4" width="22" customWidth="1"/>
    <col min="5" max="5" width="16.5703125" customWidth="1"/>
    <col min="6" max="6" width="13.5703125" customWidth="1"/>
    <col min="7" max="7" width="28.85546875" customWidth="1"/>
    <col min="8" max="8" width="16.28515625" style="6" customWidth="1"/>
  </cols>
  <sheetData>
    <row r="3" spans="2:8" ht="31.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Tableau2029[Prix Unitaire]*Tableau2029[Quantité]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4" customWidth="1"/>
    <col min="3" max="3" width="14.5703125" customWidth="1"/>
    <col min="4" max="4" width="20.7109375" customWidth="1"/>
    <col min="5" max="5" width="17.28515625" style="6" customWidth="1"/>
    <col min="6" max="6" width="13.42578125" bestFit="1" customWidth="1"/>
    <col min="7" max="7" width="27.85546875" customWidth="1"/>
    <col min="8" max="8" width="16.42578125" style="6" customWidth="1"/>
  </cols>
  <sheetData>
    <row r="3" spans="2:8" ht="29.25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Tableau2030[Prix Unitaire]*Tableau2030[Quantité]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B3:P1001"/>
  <sheetViews>
    <sheetView showGridLines="0" topLeftCell="A5" workbookViewId="0">
      <selection activeCell="G6" sqref="G6"/>
    </sheetView>
  </sheetViews>
  <sheetFormatPr baseColWidth="10" defaultRowHeight="15" x14ac:dyDescent="0.25"/>
  <cols>
    <col min="2" max="2" width="14.140625" customWidth="1"/>
    <col min="3" max="3" width="14.28515625" customWidth="1"/>
    <col min="4" max="4" width="19" customWidth="1"/>
    <col min="5" max="5" width="15.5703125" customWidth="1"/>
    <col min="6" max="6" width="14.42578125" customWidth="1"/>
    <col min="7" max="7" width="21.42578125" customWidth="1"/>
    <col min="8" max="8" width="16" style="6" customWidth="1"/>
  </cols>
  <sheetData>
    <row r="3" spans="2:8" ht="30" customHeight="1" x14ac:dyDescent="0.25"/>
    <row r="4" spans="2:8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8" x14ac:dyDescent="0.25">
      <c r="B5" s="27"/>
      <c r="C5" s="28"/>
      <c r="D5" s="28"/>
      <c r="E5" s="29"/>
      <c r="F5" s="28"/>
      <c r="G5" s="28">
        <f>Tableau2031[Prix Unitaire]*Tableau2031[Quantité]</f>
        <v>0</v>
      </c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B3:P1001"/>
  <sheetViews>
    <sheetView showGridLines="0" workbookViewId="0">
      <selection activeCell="G6" sqref="G6"/>
    </sheetView>
  </sheetViews>
  <sheetFormatPr baseColWidth="10" defaultRowHeight="15" x14ac:dyDescent="0.25"/>
  <cols>
    <col min="2" max="2" width="15.85546875" customWidth="1"/>
    <col min="3" max="3" width="15" customWidth="1"/>
    <col min="4" max="4" width="20.7109375" customWidth="1"/>
    <col min="5" max="5" width="16.85546875" customWidth="1"/>
    <col min="6" max="6" width="13.140625" customWidth="1"/>
    <col min="7" max="7" width="23.140625" customWidth="1"/>
    <col min="8" max="8" width="15.42578125" style="6" customWidth="1"/>
  </cols>
  <sheetData>
    <row r="3" spans="2:13" ht="30.75" customHeight="1" x14ac:dyDescent="0.25"/>
    <row r="4" spans="2:13" x14ac:dyDescent="0.25">
      <c r="B4" s="5" t="s">
        <v>16</v>
      </c>
      <c r="C4" s="5" t="s">
        <v>27</v>
      </c>
      <c r="D4" s="5" t="s">
        <v>28</v>
      </c>
      <c r="E4" s="7" t="s">
        <v>14</v>
      </c>
      <c r="F4" s="5" t="s">
        <v>12</v>
      </c>
      <c r="G4" s="5" t="s">
        <v>13</v>
      </c>
      <c r="H4" s="7"/>
    </row>
    <row r="5" spans="2:13" x14ac:dyDescent="0.25">
      <c r="B5" s="27"/>
      <c r="C5" s="28"/>
      <c r="D5" s="28"/>
      <c r="E5" s="29"/>
      <c r="F5" s="28"/>
      <c r="G5" s="28">
        <f>Tableau2032[Prix Unitaire]*Tableau2032[Quantité]</f>
        <v>0</v>
      </c>
    </row>
    <row r="7" spans="2:13" x14ac:dyDescent="0.25">
      <c r="K7" s="9"/>
      <c r="L7" s="9"/>
      <c r="M7" s="9"/>
    </row>
    <row r="8" spans="2:13" x14ac:dyDescent="0.25">
      <c r="K8" s="9"/>
      <c r="L8" s="9"/>
      <c r="M8" s="9"/>
    </row>
    <row r="9" spans="2:13" x14ac:dyDescent="0.25">
      <c r="K9" s="9"/>
      <c r="L9" s="9"/>
      <c r="M9" s="9"/>
    </row>
    <row r="10" spans="2:13" x14ac:dyDescent="0.25">
      <c r="K10" s="9"/>
      <c r="L10" s="9"/>
      <c r="M10" s="9"/>
    </row>
    <row r="11" spans="2:13" x14ac:dyDescent="0.25">
      <c r="K11" s="9"/>
      <c r="L11" s="9"/>
      <c r="M11" s="9"/>
    </row>
    <row r="12" spans="2:13" x14ac:dyDescent="0.25">
      <c r="K12" s="9"/>
      <c r="L12" s="9"/>
      <c r="M12" s="9"/>
    </row>
    <row r="13" spans="2:13" x14ac:dyDescent="0.25">
      <c r="K13" s="9"/>
      <c r="L13" s="9"/>
      <c r="M13" s="9"/>
    </row>
    <row r="14" spans="2:13" x14ac:dyDescent="0.25">
      <c r="K14" s="9"/>
      <c r="L14" s="9"/>
      <c r="M14" s="9"/>
    </row>
    <row r="15" spans="2:13" x14ac:dyDescent="0.25">
      <c r="E15" t="s">
        <v>15</v>
      </c>
      <c r="K15" s="9"/>
      <c r="L15" s="9"/>
      <c r="M15" s="9"/>
    </row>
    <row r="16" spans="2:13" x14ac:dyDescent="0.25">
      <c r="K16" s="9"/>
      <c r="L16" s="9"/>
      <c r="M16" s="9"/>
    </row>
    <row r="17" spans="11:13" x14ac:dyDescent="0.25">
      <c r="K17" s="9"/>
      <c r="L17" s="9"/>
      <c r="M17" s="9"/>
    </row>
    <row r="18" spans="11:13" x14ac:dyDescent="0.25">
      <c r="K18" s="9"/>
      <c r="L18" s="9"/>
      <c r="M18" s="9"/>
    </row>
    <row r="1000" spans="8:16" x14ac:dyDescent="0.25">
      <c r="I1000" t="s">
        <v>17</v>
      </c>
      <c r="J1000" t="s">
        <v>2</v>
      </c>
      <c r="K1000" t="s">
        <v>4</v>
      </c>
      <c r="L1000" t="s">
        <v>5</v>
      </c>
      <c r="M1000" t="s">
        <v>7</v>
      </c>
      <c r="N1000" t="s">
        <v>18</v>
      </c>
      <c r="O1000" t="s">
        <v>9</v>
      </c>
      <c r="P1000" t="s">
        <v>10</v>
      </c>
    </row>
    <row r="1001" spans="8:16" ht="15.75" x14ac:dyDescent="0.25">
      <c r="H1001" s="13">
        <f>SUM(G5:G1000)</f>
        <v>0</v>
      </c>
      <c r="I1001">
        <f>SUMIF(D5:D1000,"Yaourt",G5:G1000)</f>
        <v>0</v>
      </c>
      <c r="J1001">
        <f>SUMIF(D5:D1000,"Vin",G5:G1000)</f>
        <v>0</v>
      </c>
      <c r="K1001">
        <f>SUMIF(D5:D1000,"Crème",G5:G1000)</f>
        <v>0</v>
      </c>
      <c r="L1001">
        <f>SUMIF(D5:D1000,"Chocola",G5:G1000)</f>
        <v>0</v>
      </c>
      <c r="M1001">
        <f>SUMIF(C5:C1000,"Rethis",G5:G1000)</f>
        <v>0</v>
      </c>
      <c r="N1001">
        <f>SUMIF(C5:C1000,"Pona",G5:G1000)</f>
        <v>0</v>
      </c>
      <c r="O1001">
        <f>SUMIF(C5:C1000,"Marlyne",G5:G1000)</f>
        <v>0</v>
      </c>
      <c r="P1001">
        <f>SUMIF(C5:C1000,"Sandra",G5:G1000)</f>
        <v>0</v>
      </c>
    </row>
  </sheetData>
  <sheetProtection selectLockedCells="1" selectUnlockedCells="1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8</vt:i4>
      </vt:variant>
    </vt:vector>
  </HeadingPairs>
  <TitlesOfParts>
    <vt:vector size="27" baseType="lpstr">
      <vt:lpstr>Acceuil</vt:lpstr>
      <vt:lpstr>Facture</vt:lpstr>
      <vt:lpstr>Gestion Livraisons</vt:lpstr>
      <vt:lpstr>Gestion Commandes</vt:lpstr>
      <vt:lpstr>Tableau de bord</vt:lpstr>
      <vt:lpstr>Table Produits</vt:lpstr>
      <vt:lpstr>Liste</vt:lpstr>
      <vt:lpstr>Janvier</vt:lpstr>
      <vt:lpstr>Fevrier</vt:lpstr>
      <vt:lpstr>Mars</vt:lpstr>
      <vt:lpstr>Avril</vt:lpstr>
      <vt:lpstr>Mai</vt:lpstr>
      <vt:lpstr>Juin</vt:lpstr>
      <vt:lpstr>Juillet</vt:lpstr>
      <vt:lpstr>Août</vt:lpstr>
      <vt:lpstr>Septembre</vt:lpstr>
      <vt:lpstr>Octobre</vt:lpstr>
      <vt:lpstr>Novembre</vt:lpstr>
      <vt:lpstr>Décembre</vt:lpstr>
      <vt:lpstr>bab</vt:lpstr>
      <vt:lpstr>TabProd</vt:lpstr>
      <vt:lpstr>TabProduit</vt:lpstr>
      <vt:lpstr>TProduits</vt:lpstr>
      <vt:lpstr>TVendeurs</vt:lpstr>
      <vt:lpstr>vente</vt:lpstr>
      <vt:lpstr>zonecommande</vt:lpstr>
      <vt:lpstr>ZoneLivraison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ProBook</dc:creator>
  <cp:lastModifiedBy>PISSO</cp:lastModifiedBy>
  <cp:lastPrinted>2019-04-04T16:02:54Z</cp:lastPrinted>
  <dcterms:created xsi:type="dcterms:W3CDTF">2018-03-27T18:55:34Z</dcterms:created>
  <dcterms:modified xsi:type="dcterms:W3CDTF">2019-04-04T16:05:02Z</dcterms:modified>
</cp:coreProperties>
</file>